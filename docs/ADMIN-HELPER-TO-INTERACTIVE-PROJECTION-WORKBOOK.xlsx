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navg\DailyApps\work\CLAUDE\accel\docs\"/>
    </mc:Choice>
  </mc:AlternateContent>
  <xr:revisionPtr revIDLastSave="0" documentId="13_ncr:1_{35B94FBC-DF06-4340-B6CA-A7234A0C55E2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Read Me" sheetId="1" r:id="rId1"/>
    <sheet name="Inputs" sheetId="2" r:id="rId2"/>
    <sheet name="Dashboard" sheetId="3" r:id="rId3"/>
    <sheet name="Roles" sheetId="4" r:id="rId4"/>
    <sheet name="Preflight" sheetId="5" r:id="rId5"/>
    <sheet name="Sign-in Migration" sheetId="6" r:id="rId6"/>
    <sheet name="Intune Rollout" sheetId="7" r:id="rId7"/>
    <sheet name="Projection Cutover" sheetId="8" r:id="rId8"/>
    <sheet name="Verify-Rollback" sheetId="9" r:id="rId9"/>
    <sheet name="Commands" sheetId="10" r:id="rId10"/>
    <sheet name="Intune Scripts" sheetId="11" r:id="rId11"/>
    <sheet name="References" sheetId="12" r:id="rId1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0" l="1"/>
  <c r="C20" i="10"/>
  <c r="C19" i="10"/>
  <c r="C18" i="10"/>
  <c r="C16" i="10"/>
  <c r="C17" i="10" s="1"/>
  <c r="C15" i="10"/>
  <c r="C12" i="10"/>
  <c r="C11" i="10"/>
  <c r="C10" i="10"/>
  <c r="C9" i="10"/>
  <c r="C8" i="10"/>
  <c r="C7" i="10"/>
  <c r="C6" i="10"/>
  <c r="C5" i="10"/>
  <c r="D8" i="4"/>
  <c r="D7" i="4"/>
  <c r="D6" i="4"/>
  <c r="D5" i="4"/>
  <c r="B9" i="3"/>
  <c r="B8" i="3"/>
  <c r="B7" i="3"/>
  <c r="B6" i="3"/>
  <c r="B4" i="3"/>
  <c r="C14" i="10" l="1"/>
  <c r="C13" i="10"/>
</calcChain>
</file>

<file path=xl/sharedStrings.xml><?xml version="1.0" encoding="utf-8"?>
<sst xmlns="http://schemas.openxmlformats.org/spreadsheetml/2006/main" count="547" uniqueCount="402">
  <si>
    <t>Migration administration workbook</t>
  </si>
  <si>
    <t>Helper-script Desktop sign-in to interactive Entra browser sign-in, then evidence-gated Cosmos projection switch.</t>
  </si>
  <si>
    <t>Section</t>
  </si>
  <si>
    <t>Purpose</t>
  </si>
  <si>
    <t>Owner output</t>
  </si>
  <si>
    <t>Inputs</t>
  </si>
  <si>
    <t>Enter gateway, Entra and change-window values. Blue text/yellow fill marks administrator inputs.</t>
  </si>
  <si>
    <t>Approved values</t>
  </si>
  <si>
    <t>Dashboard</t>
  </si>
  <si>
    <t>Formula-driven go/no-go state from mandatory preflight rows.</t>
  </si>
  <si>
    <t>GO only after PASS or N/A</t>
  </si>
  <si>
    <t>Roles</t>
  </si>
  <si>
    <t>Azure, Entra, Graph, Intune and network handoffs.</t>
  </si>
  <si>
    <t>Named owners</t>
  </si>
  <si>
    <t>Preflight</t>
  </si>
  <si>
    <t>Read-only checks with evidence.</t>
  </si>
  <si>
    <t>Signed evidence</t>
  </si>
  <si>
    <t>Sign-in Migration</t>
  </si>
  <si>
    <t>Backup, public-client app, recorded external-idp choice, accepted audience and generated policy.</t>
  </si>
  <si>
    <t>Pilot-ready sign-in</t>
  </si>
  <si>
    <t>Intune Rollout</t>
  </si>
  <si>
    <t>Deterministic Windows policy deployment and pilot.</t>
  </si>
  <si>
    <t>Successful pilot</t>
  </si>
  <si>
    <t>Projection Cutover</t>
  </si>
  <si>
    <t>Preflight, clean compare, full-sync evidence, dry-run and one-write switch.</t>
  </si>
  <si>
    <t>projection source</t>
  </si>
  <si>
    <t>Verify-Rollback</t>
  </si>
  <si>
    <t>Post-change proof and independent rollback paths.</t>
  </si>
  <si>
    <t>Closure/restoration</t>
  </si>
  <si>
    <t>Commands</t>
  </si>
  <si>
    <t>Formula-generated command templates from Inputs.</t>
  </si>
  <si>
    <t>Reviewed commands</t>
  </si>
  <si>
    <t>Intune Scripts</t>
  </si>
  <si>
    <t>Current MDM guide script templates.</t>
  </si>
  <si>
    <t>Upload package</t>
  </si>
  <si>
    <t>References</t>
  </si>
  <si>
    <t>Repository evidence for each procedure.</t>
  </si>
  <si>
    <t>Audit trail</t>
  </si>
  <si>
    <t>Safety boundary</t>
  </si>
  <si>
    <t>Named values remain authoritative until the final switch. Desktop sign-in and entitlement source are separate changes with separate rollback paths.</t>
  </si>
  <si>
    <t>Operator inputs</t>
  </si>
  <si>
    <t>Replace placeholders before copying generated commands.</t>
  </si>
  <si>
    <t>Input</t>
  </si>
  <si>
    <t>Value</t>
  </si>
  <si>
    <t>Source / validation</t>
  </si>
  <si>
    <t>Repository root</t>
  </si>
  <si>
    <t>C:\path\to\claude-code-foundry-gateway</t>
  </si>
  <si>
    <t>Current clone</t>
  </si>
  <si>
    <t>Subscription ID</t>
  </si>
  <si>
    <t>&lt;subscription-id&gt;</t>
  </si>
  <si>
    <t>az account show</t>
  </si>
  <si>
    <t>Tenant ID</t>
  </si>
  <si>
    <t>&lt;tenant-id&gt;</t>
  </si>
  <si>
    <t>Resource group</t>
  </si>
  <si>
    <t>&lt;resource-group&gt;</t>
  </si>
  <si>
    <t>Existing APIM resource group</t>
  </si>
  <si>
    <t>APIM name</t>
  </si>
  <si>
    <t>&lt;apim-name&gt;</t>
  </si>
  <si>
    <t>Existing gateway</t>
  </si>
  <si>
    <t>Projection prefix</t>
  </si>
  <si>
    <t>&lt;lowercase-prefix&gt;</t>
  </si>
  <si>
    <t>1-37 lowercase letters/digits</t>
  </si>
  <si>
    <t>Location</t>
  </si>
  <si>
    <t>eastus</t>
  </si>
  <si>
    <t>Resource group / Cosmos region</t>
  </si>
  <si>
    <t>APIM SKU</t>
  </si>
  <si>
    <t>StandardV2</t>
  </si>
  <si>
    <t>BasicV2, StandardV2 or PremiumV2</t>
  </si>
  <si>
    <t>Resolver inbound access</t>
  </si>
  <si>
    <t>private</t>
  </si>
  <si>
    <t>BasicV2 public; Standard/Premium default private</t>
  </si>
  <si>
    <t>Resolver application ID</t>
  </si>
  <si>
    <t>&lt;resolver-app-id&gt;</t>
  </si>
  <si>
    <t>Selected or created app</t>
  </si>
  <si>
    <t>Standard group</t>
  </si>
  <si>
    <t>claude-code-standard</t>
  </si>
  <si>
    <t>Gateway-recorded group</t>
  </si>
  <si>
    <t>Premium group</t>
  </si>
  <si>
    <t>claude-code-premium</t>
  </si>
  <si>
    <t>Desktop app display name</t>
  </si>
  <si>
    <t>Claude Desktop gateway</t>
  </si>
  <si>
    <t>Public-client registration</t>
  </si>
  <si>
    <t>Desktop client ID</t>
  </si>
  <si>
    <t>&lt;desktop-public-client-id&gt;</t>
  </si>
  <si>
    <t>App script output</t>
  </si>
  <si>
    <t>Desktop issuer</t>
  </si>
  <si>
    <t>https://login.microsoftonline.com/&lt;tenant-id&gt;/v2.0</t>
  </si>
  <si>
    <t>Intune pilot group</t>
  </si>
  <si>
    <t>&lt;pilot-group&gt;</t>
  </si>
  <si>
    <t>Approved small pilot</t>
  </si>
  <si>
    <t>Azure operator</t>
  </si>
  <si>
    <t>&lt;name&gt;</t>
  </si>
  <si>
    <t>Change owner</t>
  </si>
  <si>
    <t>Entra administrator</t>
  </si>
  <si>
    <t>App/consent owner</t>
  </si>
  <si>
    <t>Intune administrator</t>
  </si>
  <si>
    <t>MDM owner</t>
  </si>
  <si>
    <t>Change window UTC</t>
  </si>
  <si>
    <t>&lt;yyyy-mm-dd hh:mm&gt;</t>
  </si>
  <si>
    <t>Approved record</t>
  </si>
  <si>
    <t>Backup path</t>
  </si>
  <si>
    <t>&lt;generated-after-phase-1&gt;</t>
  </si>
  <si>
    <t>Gateway backup output</t>
  </si>
  <si>
    <t>Migration dashboard</t>
  </si>
  <si>
    <t>Complete every mandatory preflight row before live changes.</t>
  </si>
  <si>
    <t>Overall decision</t>
  </si>
  <si>
    <t>Failed checks</t>
  </si>
  <si>
    <t>Incomplete checks</t>
  </si>
  <si>
    <t>Passed checks</t>
  </si>
  <si>
    <t>N/A checks</t>
  </si>
  <si>
    <t>Gate</t>
  </si>
  <si>
    <t>Required evidence</t>
  </si>
  <si>
    <t>Rule</t>
  </si>
  <si>
    <t>Desktop app readiness</t>
  </si>
  <si>
    <t>Client ID, issuer, redirect URI and consent decision</t>
  </si>
  <si>
    <t>Before pilot</t>
  </si>
  <si>
    <t>Intune pilot</t>
  </si>
  <si>
    <t>Device/User status succeeded and Desktop restarted</t>
  </si>
  <si>
    <t>Before switch</t>
  </si>
  <si>
    <t>Projection compare</t>
  </si>
  <si>
    <t>Clean comparison; named values remain authoritative</t>
  </si>
  <si>
    <t>Required</t>
  </si>
  <si>
    <t>Full sync evidence</t>
  </si>
  <si>
    <t>Successful full sync within 24 hours</t>
  </si>
  <si>
    <t>Dry-run switch</t>
  </si>
  <si>
    <t>Resolver, drift, runner compare and evidence pass</t>
  </si>
  <si>
    <t>Live switch</t>
  </si>
  <si>
    <t>Backup path; entitlement-source reads projection</t>
  </si>
  <si>
    <t>Final write</t>
  </si>
  <si>
    <t>Roles and handoffs</t>
  </si>
  <si>
    <t>Azure subscription roles and Entra directory roles are separate.</t>
  </si>
  <si>
    <t>Role</t>
  </si>
  <si>
    <t>Responsibility</t>
  </si>
  <si>
    <t>Required access</t>
  </si>
  <si>
    <t>Named owner</t>
  </si>
  <si>
    <t>Backup, named value, deploy, compare and switch</t>
  </si>
  <si>
    <t>Resource deployment; APIM named-value read/write; resolver config; runner start/exec</t>
  </si>
  <si>
    <t>Entra application administrator</t>
  </si>
  <si>
    <t>Desktop public client and consent</t>
  </si>
  <si>
    <t>Application registration and tenant consent authority</t>
  </si>
  <si>
    <t>Entra group reader</t>
  </si>
  <si>
    <t>Directory snapshot for compare/sync</t>
  </si>
  <si>
    <t>GroupMember.Read.All full sync; User.ReadBasic.All targeted</t>
  </si>
  <si>
    <t>Pilot and assign managed settings</t>
  </si>
  <si>
    <t>Configuration, platform script or Remediations</t>
  </si>
  <si>
    <t>Network administrator</t>
  </si>
  <si>
    <t>Private resolver network approval</t>
  </si>
  <si>
    <t>VNet/subnet/private DNS join/write</t>
  </si>
  <si>
    <t>Change approver</t>
  </si>
  <si>
    <t>GO/NO-GO and rollback authority</t>
  </si>
  <si>
    <t>Organization change process</t>
  </si>
  <si>
    <t>Mandatory preflight</t>
  </si>
  <si>
    <t>Read-only checks. Select PASS, FAIL or N/A and attach redacted evidence.</t>
  </si>
  <si>
    <t>#</t>
  </si>
  <si>
    <t>Check</t>
  </si>
  <si>
    <t>Command / place</t>
  </si>
  <si>
    <t>Pass criterion</t>
  </si>
  <si>
    <t>Owner</t>
  </si>
  <si>
    <t>Status</t>
  </si>
  <si>
    <t>Evidence / ticket</t>
  </si>
  <si>
    <t>Repository and PowerShell</t>
  </si>
  <si>
    <t>git status; $PSVersionTable.PSVersion</t>
  </si>
  <si>
    <t>Correct repo; PowerShell 7+</t>
  </si>
  <si>
    <t>Azure context</t>
  </si>
  <si>
    <t>Subscription/tenant match Inputs</t>
  </si>
  <si>
    <t>Current source</t>
  </si>
  <si>
    <t>Read entitlement-source</t>
  </si>
  <si>
    <t>named-value</t>
  </si>
  <si>
    <t>Current Desktop audience</t>
  </si>
  <si>
    <t>Read external-idp-extra-audience</t>
  </si>
  <si>
    <t>Value recorded for rollback</t>
  </si>
  <si>
    <t>Gateway backup</t>
  </si>
  <si>
    <t>Backup-ClaudeGateway.ps1</t>
  </si>
  <si>
    <t>Backup file exists</t>
  </si>
  <si>
    <t>Desktop app preview</t>
  </si>
  <si>
    <t>New-ClaudeDesktopEntraApp.ps1 -WhatIf</t>
  </si>
  <si>
    <t>App/redirect approved</t>
  </si>
  <si>
    <t>Entra admin</t>
  </si>
  <si>
    <t>Consent policy</t>
  </si>
  <si>
    <t>Entra review</t>
  </si>
  <si>
    <t>Pilot consent path approved</t>
  </si>
  <si>
    <t>Projection preflight</t>
  </si>
  <si>
    <t>Deploy-ClaudeProjection.ps1 -PreflightOnly</t>
  </si>
  <si>
    <t>No FAIL; exit 0</t>
  </si>
  <si>
    <t>Tier groups</t>
  </si>
  <si>
    <t>Preflight output</t>
  </si>
  <si>
    <t>Recorded groups resolve exactly</t>
  </si>
  <si>
    <t>Resolver registration</t>
  </si>
  <si>
    <t>Selected app or creation allowed</t>
  </si>
  <si>
    <t>Providers</t>
  </si>
  <si>
    <t>Required providers registered</t>
  </si>
  <si>
    <t>Names</t>
  </si>
  <si>
    <t>Valid/available or reusable</t>
  </si>
  <si>
    <t>Network path</t>
  </si>
  <si>
    <t>Network review</t>
  </si>
  <si>
    <t>Approved public/private shape</t>
  </si>
  <si>
    <t>Network admin</t>
  </si>
  <si>
    <t>Intune group review</t>
  </si>
  <si>
    <t>Small pilot approved</t>
  </si>
  <si>
    <t>Intune admin</t>
  </si>
  <si>
    <t>Rollback authority</t>
  </si>
  <si>
    <t>Change record</t>
  </si>
  <si>
    <t>Approver</t>
  </si>
  <si>
    <t>Change window</t>
  </si>
  <si>
    <t>Approved communications/window</t>
  </si>
  <si>
    <t>Desktop sign-in migration</t>
  </si>
  <si>
    <t>Backup, create/discover public client, record external-idp browser, write one audience named value and regenerate profiles.</t>
  </si>
  <si>
    <t>Step</t>
  </si>
  <si>
    <t>Action / command</t>
  </si>
  <si>
    <t>Expected result</t>
  </si>
  <si>
    <t>Evidence / output</t>
  </si>
  <si>
    <t>Create/discover Desktop app</t>
  </si>
  <si>
    <t>Run Commands row 4 after preview passes.</t>
  </si>
  <si>
    <t>clientId, tenantId, issuer and redirect returned</t>
  </si>
  <si>
    <t>NOT STARTED</t>
  </si>
  <si>
    <t>Consent decision</t>
  </si>
  <si>
    <t>Review tenant user-consent policy.</t>
  </si>
  <si>
    <t>No AADSTS65001 blocker for pilot</t>
  </si>
  <si>
    <t>Back up handover</t>
  </si>
  <si>
    <t>Copy onboarding/claude-gateway.json with UTC suffix.</t>
  </si>
  <si>
    <t>Helper-script record preserved</t>
  </si>
  <si>
    <t>Record external-idp</t>
  </si>
  <si>
    <t>Set kind external-idp, flow browser, id_token issuer/clientId.</t>
  </si>
  <si>
    <t>ClaudeDesktopSignIn validation passes</t>
  </si>
  <si>
    <t>Write audience</t>
  </si>
  <si>
    <t>Set external-idp-extra-audience to client ID.</t>
  </si>
  <si>
    <t>Read-back exact match</t>
  </si>
  <si>
    <t>Generate standard policy</t>
  </si>
  <si>
    <t>New-ClaudeCodePolicy.ps1 -Tier standard.</t>
  </si>
  <si>
    <t>Payloads generated</t>
  </si>
  <si>
    <t>Generate premium policy</t>
  </si>
  <si>
    <t>New-ClaudeCodePolicy.ps1 -Tier premium.</t>
  </si>
  <si>
    <t>Review policy</t>
  </si>
  <si>
    <t>Confirm gateway and interactive Desktop keys.</t>
  </si>
  <si>
    <t>Azure/Intune sign-off</t>
  </si>
  <si>
    <t>Azure + Intune</t>
  </si>
  <si>
    <t>Intune pilot rollout</t>
  </si>
  <si>
    <t>Use deterministic HKLM writers, pilot first and monitor before broad assignment.</t>
  </si>
  <si>
    <t>Choose delivery</t>
  </si>
  <si>
    <t>Platform script, Remediation or Win32 unless matching ADMX/CSP exists.</t>
  </si>
  <si>
    <t>Deterministic method</t>
  </si>
  <si>
    <t>Claude Code package</t>
  </si>
  <si>
    <t>Embed exact generated JSON using Intune Scripts.</t>
  </si>
  <si>
    <t>HKLM ClaudeCode Settings written</t>
  </si>
  <si>
    <t>Detection</t>
  </si>
  <si>
    <t>Calculate exact Settings SHA-256.</t>
  </si>
  <si>
    <t>Exit 0 only on exact match</t>
  </si>
  <si>
    <t>Desktop package</t>
  </si>
  <si>
    <t>Bundle generated claude-desktop.reg.</t>
  </si>
  <si>
    <t>Direct HKLM Claude values</t>
  </si>
  <si>
    <t>Script settings</t>
  </si>
  <si>
    <t>System context; 64-bit; signature per policy.</t>
  </si>
  <si>
    <t>Correct registry view</t>
  </si>
  <si>
    <t>Pilot assignment</t>
  </si>
  <si>
    <t>Assign only to Inputs pilot group.</t>
  </si>
  <si>
    <t>Correct tier payload</t>
  </si>
  <si>
    <t>Restart Desktop</t>
  </si>
  <si>
    <t>Fully quit/reopen.</t>
  </si>
  <si>
    <t>Browser sign-in shown</t>
  </si>
  <si>
    <t>Pilot</t>
  </si>
  <si>
    <t>Functional pilot</t>
  </si>
  <si>
    <t>Sign in and send request.</t>
  </si>
  <si>
    <t>Gateway accepts client-id audience</t>
  </si>
  <si>
    <t>Pilot + Azure</t>
  </si>
  <si>
    <t>Monitor</t>
  </si>
  <si>
    <t>Retain Device/User status.</t>
  </si>
  <si>
    <t>Pilot succeeded</t>
  </si>
  <si>
    <t>Cosmos projection cutover</t>
  </si>
  <si>
    <t>Deploy/compare while named values serve. Switch only after fresh full-sync evidence and clean -WhatIf.</t>
  </si>
  <si>
    <t>Commands row 9.</t>
  </si>
  <si>
    <t>All checks pass; no writes</t>
  </si>
  <si>
    <t>Deploy/populate/compare</t>
  </si>
  <si>
    <t>Commands row 10.</t>
  </si>
  <si>
    <t>Clean comparison message</t>
  </si>
  <si>
    <t>Commands row 11.</t>
  </si>
  <si>
    <t>Success within 24h</t>
  </si>
  <si>
    <t>Commands row 12.</t>
  </si>
  <si>
    <t>All evidence passes; no write</t>
  </si>
  <si>
    <t>GO/NO-GO review</t>
  </si>
  <si>
    <t>Attach compare/sync/dry-run evidence.</t>
  </si>
  <si>
    <t>Approver authorizes one write</t>
  </si>
  <si>
    <t>Commands row 13.</t>
  </si>
  <si>
    <t>Backup; source=projection</t>
  </si>
  <si>
    <t>Read-back</t>
  </si>
  <si>
    <t>Commands row 14.</t>
  </si>
  <si>
    <t>Exact projection value</t>
  </si>
  <si>
    <t>One-user proof</t>
  </si>
  <si>
    <t>Targeted sync after approved group change.</t>
  </si>
  <si>
    <t>User published</t>
  </si>
  <si>
    <t>Post-check</t>
  </si>
  <si>
    <t>Full sync and test request.</t>
  </si>
  <si>
    <t>No unexpected refusal; success</t>
  </si>
  <si>
    <t>Verification and rollback</t>
  </si>
  <si>
    <t>Desktop and projection rollback are independent. Refresh/compare named values before source rollback.</t>
  </si>
  <si>
    <t>Desktop policy</t>
  </si>
  <si>
    <t>Managed keys show external-idp/browser and client ID.</t>
  </si>
  <si>
    <t>Verified</t>
  </si>
  <si>
    <t>Desktop request</t>
  </si>
  <si>
    <t>Pilot sign-in and gateway response.</t>
  </si>
  <si>
    <t>CLI continuity</t>
  </si>
  <si>
    <t>Claude Code/VS Code still use Azure CLI.</t>
  </si>
  <si>
    <t>Projection source</t>
  </si>
  <si>
    <t>entitlement-source reads projection.</t>
  </si>
  <si>
    <t>Targeted publication</t>
  </si>
  <si>
    <t>-User updates changed identity.</t>
  </si>
  <si>
    <t>Desktop rollback</t>
  </si>
  <si>
    <t>Restore record/audience; regenerate/deploy helper profile.</t>
  </si>
  <si>
    <t>When sign-in fails</t>
  </si>
  <si>
    <t>Named-value refresh</t>
  </si>
  <si>
    <t>Sync-ClaudeAccess.ps1 -Store named-value.</t>
  </si>
  <si>
    <t>Lists refreshed</t>
  </si>
  <si>
    <t>Named-value compare</t>
  </si>
  <si>
    <t>Compare-ClaudeEntitlement.ps1 -FailOnDrift.</t>
  </si>
  <si>
    <t>No drift</t>
  </si>
  <si>
    <t>Source rollback</t>
  </si>
  <si>
    <t>Set entitlement-source=named-value after 7-8.</t>
  </si>
  <si>
    <t>Named values serve</t>
  </si>
  <si>
    <t>Close change</t>
  </si>
  <si>
    <t>Attach backups and evidence.</t>
  </si>
  <si>
    <t>Record complete</t>
  </si>
  <si>
    <t>Generated command templates</t>
  </si>
  <si>
    <t>Review placeholders and optional arguments before running.</t>
  </si>
  <si>
    <t>Command</t>
  </si>
  <si>
    <t>Expected output</t>
  </si>
  <si>
    <t>Context matches</t>
  </si>
  <si>
    <t>Read entitlement source</t>
  </si>
  <si>
    <t>Preview Desktop app</t>
  </si>
  <si>
    <t>No writes</t>
  </si>
  <si>
    <t>App object</t>
  </si>
  <si>
    <t>Write Desktop audience</t>
  </si>
  <si>
    <t>Exact client ID</t>
  </si>
  <si>
    <t>Payload files</t>
  </si>
  <si>
    <t>Projection arguments</t>
  </si>
  <si>
    <t>Remove unneeded optional args</t>
  </si>
  <si>
    <t>No FAIL</t>
  </si>
  <si>
    <t>Clean comparison</t>
  </si>
  <si>
    <t>Full sync</t>
  </si>
  <si>
    <t>Success evidence</t>
  </si>
  <si>
    <t>All checks; no write</t>
  </si>
  <si>
    <t>Backup and one write</t>
  </si>
  <si>
    <t>Read source</t>
  </si>
  <si>
    <t>projection</t>
  </si>
  <si>
    <t>Targeted sync</t>
  </si>
  <si>
    <t>User result</t>
  </si>
  <si>
    <t>Rollback refresh</t>
  </si>
  <si>
    <t>Rollback compare</t>
  </si>
  <si>
    <t>Intune script templates</t>
  </si>
  <si>
    <t>Windows PowerShell 5.1-compatible templates from docs/MDM.md.</t>
  </si>
  <si>
    <t>Script / setting</t>
  </si>
  <si>
    <t>Content</t>
  </si>
  <si>
    <t>Platform settings</t>
  </si>
  <si>
    <t>Run using logged-on credentials: No
Signature: organization policy; No unless signed
64-bit host: Yes</t>
  </si>
  <si>
    <t>Claude Code install/remediation</t>
  </si>
  <si>
    <t>$ErrorActionPreference = 'Stop'
$settings = @'
&lt;paste claude-code.managed-settings.json as one JSON document&gt;
'@
$key = 'HKLM:\SOFTWARE\Policies\ClaudeCode'
New-Item -Path $key -Force | Out-Null
New-ItemProperty -Path $key -Name Settings -PropertyType String -Value $settings -Force | Out-Null</t>
  </si>
  <si>
    <t>Claude Code detection</t>
  </si>
  <si>
    <t>$expected = '&lt;sha256 of the exact Settings string&gt;'
$value = (Get-ItemProperty -Path 'HKLM:\SOFTWARE\Policies\ClaudeCode' -Name Settings -ErrorAction SilentlyContinue).Settings
if (-not $value) { exit 1 }
$sha = [System.Security.Cryptography.SHA256]::Create()
try { $bytes = $sha.ComputeHash([System.Text.Encoding]::UTF8.GetBytes($value)) } finally { $sha.Dispose() }
$actual = -join ($bytes | ForEach-Object { $_.ToString('x2') })
if ($actual -eq $expected) { exit 0 }
exit 1</t>
  </si>
  <si>
    <t>Claude Code rollback</t>
  </si>
  <si>
    <t>$key = 'HKLM:\SOFTWARE\Policies\ClaudeCode'
Remove-ItemProperty -Path $key -Name Settings -ErrorAction SilentlyContinue
if (Test-Path $key) {
  $remaining = Get-ItemProperty -Path $key
  if ($remaining.PSObject.Properties.Name -notcontains 'Settings') { Remove-Item -Path $key -Recurse -Force -ErrorAction SilentlyContinue }
}</t>
  </si>
  <si>
    <t>Claude Desktop import</t>
  </si>
  <si>
    <t>$ErrorActionPreference = 'Stop'
reg.exe import .\claude-desktop.reg
if ($LASTEXITCODE -ne 0) { throw "Claude Desktop policy import failed: $LASTEXITCODE" }
# Package generated .reg beside script; fully quit/reopen Desktop.</t>
  </si>
  <si>
    <t>Desktop location</t>
  </si>
  <si>
    <t>HKLM\SOFTWARE\Policies\Claude; values directly under key; object/array values are JSON strings; subkeys ignored.</t>
  </si>
  <si>
    <t>OMA-URI caution</t>
  </si>
  <si>
    <t>Use ./Device/Vendor/MSFT/Policy/Config/ClaudeCode/Settings only with matching custom ADMX/Policy CSP. Otherwise use script, Remediation or Win32.</t>
  </si>
  <si>
    <t>Repository references</t>
  </si>
  <si>
    <t>Current sources used for this workbook.</t>
  </si>
  <si>
    <t>Source</t>
  </si>
  <si>
    <t>Supports</t>
  </si>
  <si>
    <t>Path</t>
  </si>
  <si>
    <t>Secure projection</t>
  </si>
  <si>
    <t>Preflight, compare, sync evidence, switch and rollback capacity</t>
  </si>
  <si>
    <t>SECURE-PROJECTION.md</t>
  </si>
  <si>
    <t>Update and change</t>
  </si>
  <si>
    <t>Manual Desktop sign-in change</t>
  </si>
  <si>
    <t>UPDATE-AND-CHANGE.md#5-change-claude-desktop-sign-in</t>
  </si>
  <si>
    <t>Developer guide</t>
  </si>
  <si>
    <t>Browser/broker config and consent</t>
  </si>
  <si>
    <t>../DEVELOPER.md#letting-desktop-do-the-sign-in-itself</t>
  </si>
  <si>
    <t>MDM guide</t>
  </si>
  <si>
    <t>Generated outputs and Intune scripts</t>
  </si>
  <si>
    <t>MDM.md</t>
  </si>
  <si>
    <t>Projection workbook</t>
  </si>
  <si>
    <t>Role separation</t>
  </si>
  <si>
    <t>PROJECTION-WORKBOOK.md</t>
  </si>
  <si>
    <t>Desktop app script</t>
  </si>
  <si>
    <t>Public-client creation/discovery</t>
  </si>
  <si>
    <t>../scripts/New-ClaudeDesktopEntraApp.ps1</t>
  </si>
  <si>
    <t>Policy generator</t>
  </si>
  <si>
    <t>Managed policy generation</t>
  </si>
  <si>
    <t>../scripts/New-ClaudeCodePolicy.ps1</t>
  </si>
  <si>
    <t>Projection deployer</t>
  </si>
  <si>
    <t>Current params and switch behavior</t>
  </si>
  <si>
    <t>../scripts/Deploy-ClaudeProjection.ps1</t>
  </si>
  <si>
    <t>Sync command</t>
  </si>
  <si>
    <t>Publication to active store</t>
  </si>
  <si>
    <t>../scripts/Sync-ClaudeAccess.ps1</t>
  </si>
  <si>
    <t>Compare command</t>
  </si>
  <si>
    <t>Named values vs Entra drift</t>
  </si>
  <si>
    <t>../scripts/Compare-ClaudeEntitlement.ps1</t>
  </si>
  <si>
    <t>Desktop sign-in ADR</t>
  </si>
  <si>
    <t>Choice and consequences</t>
  </si>
  <si>
    <t>adr/0027-claude-desktop-sign-in-choice.md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</si>
</sst>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i/>
      <sz val="10"/>
      <name val="Arial"/>
    </font>
    <font>
      <b/>
      <sz val="11"/>
      <color rgb="FFFFFFFF"/>
      <name val="Arial"/>
    </font>
    <font>
      <sz val="10"/>
      <color rgb="FF1F1F1F"/>
      <name val="Arial"/>
    </font>
    <font>
      <b/>
      <sz val="11"/>
      <color rgb="FFC00000"/>
      <name val="Arial"/>
    </font>
    <font>
      <sz val="11"/>
      <color rgb="FF0000FF"/>
      <name val="Arial"/>
    </font>
    <font>
      <b/>
      <sz val="16"/>
      <name val="Arial"/>
    </font>
    <font>
      <b/>
      <sz val="11"/>
      <name val="Arial"/>
    </font>
    <font>
      <sz val="10"/>
      <name val="Arial"/>
    </font>
    <font>
      <b/>
      <sz val="11"/>
      <color rgb="FF0000FF"/>
      <name val="Arial"/>
    </font>
    <font>
      <sz val="9"/>
      <name val="Consolas"/>
    </font>
    <font>
      <sz val="12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2">
    <xf numFmtId="0" fontId="0" fillId="0" borderId="0"/>
    <xf numFmtId="0" fontId="12" fillId="0" borderId="0"/>
  </cellStyleXfs>
  <cellXfs count="16">
    <xf numFmtId="0" fontId="0" fillId="0" borderId="0" xfId="0"/>
    <xf numFmtId="0" fontId="3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0" fillId="5" borderId="0" xfId="0" applyFill="1" applyAlignment="1">
      <alignment wrapText="1"/>
    </xf>
    <xf numFmtId="0" fontId="6" fillId="6" borderId="1" xfId="0" applyFont="1" applyFill="1" applyBorder="1" applyAlignment="1">
      <alignment vertical="top" wrapText="1"/>
    </xf>
    <xf numFmtId="0" fontId="3" fillId="2" borderId="0" xfId="0" applyFont="1" applyFill="1"/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1" xfId="0" applyFont="1" applyBorder="1" applyAlignment="1">
      <alignment vertical="top" wrapText="1"/>
    </xf>
    <xf numFmtId="0" fontId="10" fillId="6" borderId="1" xfId="0" applyFont="1" applyFill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2" fillId="0" borderId="0" xfId="1"/>
    <xf numFmtId="0" fontId="1" fillId="2" borderId="0" xfId="0" applyFont="1" applyFill="1" applyAlignment="1">
      <alignment vertical="center"/>
    </xf>
    <xf numFmtId="0" fontId="0" fillId="0" borderId="0" xfId="0"/>
    <xf numFmtId="0" fontId="2" fillId="3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23">
    <dxf>
      <fill>
        <patternFill patternType="solid">
          <fgColor rgb="FFE2F0D9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Tbl" displayName="ReadMeTbl" ref="A4:C15">
  <autoFilter ref="A4:C15" xr:uid="{00000000-0009-0000-0100-000001000000}"/>
  <tableColumns count="3">
    <tableColumn id="1" xr3:uid="{00000000-0010-0000-0000-000001000000}" name="Section"/>
    <tableColumn id="2" xr3:uid="{00000000-0010-0000-0000-000002000000}" name="Purpose"/>
    <tableColumn id="3" xr3:uid="{00000000-0010-0000-0000-000003000000}" name="Owner outpu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putsTbl" displayName="InputsTbl" ref="A4:C25">
  <autoFilter ref="A4:C25" xr:uid="{00000000-0009-0000-0100-000002000000}"/>
  <tableColumns count="3">
    <tableColumn id="1" xr3:uid="{00000000-0010-0000-0100-000001000000}" name="Input"/>
    <tableColumn id="2" xr3:uid="{00000000-0010-0000-0100-000002000000}" name="Value"/>
    <tableColumn id="3" xr3:uid="{00000000-0010-0000-0100-000003000000}" name="Source / valid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shboardTbl" displayName="DashboardTbl" ref="A12:C18">
  <autoFilter ref="A12:C18" xr:uid="{00000000-0009-0000-0100-000003000000}"/>
  <tableColumns count="3">
    <tableColumn id="1" xr3:uid="{00000000-0010-0000-0200-000001000000}" name="Gate"/>
    <tableColumn id="2" xr3:uid="{00000000-0010-0000-0200-000002000000}" name="Required evidence"/>
    <tableColumn id="3" xr3:uid="{00000000-0010-0000-0200-000003000000}" name="Ru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olesTbl" displayName="RolesTbl" ref="A4:D10">
  <autoFilter ref="A4:D10" xr:uid="{00000000-0009-0000-0100-000004000000}"/>
  <tableColumns count="4">
    <tableColumn id="1" xr3:uid="{00000000-0010-0000-0300-000001000000}" name="Role"/>
    <tableColumn id="2" xr3:uid="{00000000-0010-0000-0300-000002000000}" name="Responsibility"/>
    <tableColumn id="3" xr3:uid="{00000000-0010-0000-0300-000003000000}" name="Required access"/>
    <tableColumn id="4" xr3:uid="{00000000-0010-0000-0300-000004000000}" name="Named own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reflightTbl" displayName="PreflightTbl" ref="A4:G20">
  <autoFilter ref="A4:G20" xr:uid="{00000000-0009-0000-0100-000005000000}"/>
  <tableColumns count="7">
    <tableColumn id="1" xr3:uid="{00000000-0010-0000-0400-000001000000}" name="#"/>
    <tableColumn id="2" xr3:uid="{00000000-0010-0000-0400-000002000000}" name="Check"/>
    <tableColumn id="3" xr3:uid="{00000000-0010-0000-0400-000003000000}" name="Command / place"/>
    <tableColumn id="4" xr3:uid="{00000000-0010-0000-0400-000004000000}" name="Pass criterion"/>
    <tableColumn id="5" xr3:uid="{00000000-0010-0000-0400-000005000000}" name="Owner"/>
    <tableColumn id="6" xr3:uid="{00000000-0010-0000-0400-000006000000}" name="Status"/>
    <tableColumn id="7" xr3:uid="{00000000-0010-0000-0400-000007000000}" name="Evidence / ticke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igninMigrationTbl" displayName="SigninMigrationTbl" ref="A4:G12">
  <autoFilter ref="A4:G12" xr:uid="{00000000-0009-0000-0100-000006000000}"/>
  <tableColumns count="7">
    <tableColumn id="1" xr3:uid="{00000000-0010-0000-0500-000001000000}" name="#"/>
    <tableColumn id="2" xr3:uid="{00000000-0010-0000-0500-000002000000}" name="Step"/>
    <tableColumn id="3" xr3:uid="{00000000-0010-0000-0500-000003000000}" name="Action / command"/>
    <tableColumn id="4" xr3:uid="{00000000-0010-0000-0500-000004000000}" name="Expected result"/>
    <tableColumn id="5" xr3:uid="{00000000-0010-0000-0500-000005000000}" name="Owner"/>
    <tableColumn id="6" xr3:uid="{00000000-0010-0000-0500-000006000000}" name="Status"/>
    <tableColumn id="7" xr3:uid="{00000000-0010-0000-0500-000007000000}" name="Evidence / outpu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IntuneRolloutTbl" displayName="IntuneRolloutTbl" ref="A4:G13">
  <autoFilter ref="A4:G13" xr:uid="{00000000-0009-0000-0100-000007000000}"/>
  <tableColumns count="7">
    <tableColumn id="1" xr3:uid="{00000000-0010-0000-0600-000001000000}" name="#"/>
    <tableColumn id="2" xr3:uid="{00000000-0010-0000-0600-000002000000}" name="Step"/>
    <tableColumn id="3" xr3:uid="{00000000-0010-0000-0600-000003000000}" name="Action / command"/>
    <tableColumn id="4" xr3:uid="{00000000-0010-0000-0600-000004000000}" name="Expected result"/>
    <tableColumn id="5" xr3:uid="{00000000-0010-0000-0600-000005000000}" name="Owner"/>
    <tableColumn id="6" xr3:uid="{00000000-0010-0000-0600-000006000000}" name="Status"/>
    <tableColumn id="7" xr3:uid="{00000000-0010-0000-0600-000007000000}" name="Evidence / outpu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ojectionCutoverTbl" displayName="ProjectionCutoverTbl" ref="A4:G13">
  <autoFilter ref="A4:G13" xr:uid="{00000000-0009-0000-0100-000008000000}"/>
  <tableColumns count="7">
    <tableColumn id="1" xr3:uid="{00000000-0010-0000-0700-000001000000}" name="#"/>
    <tableColumn id="2" xr3:uid="{00000000-0010-0000-0700-000002000000}" name="Step"/>
    <tableColumn id="3" xr3:uid="{00000000-0010-0000-0700-000003000000}" name="Action / command"/>
    <tableColumn id="4" xr3:uid="{00000000-0010-0000-0700-000004000000}" name="Expected result"/>
    <tableColumn id="5" xr3:uid="{00000000-0010-0000-0700-000005000000}" name="Owner"/>
    <tableColumn id="6" xr3:uid="{00000000-0010-0000-0700-000006000000}" name="Status"/>
    <tableColumn id="7" xr3:uid="{00000000-0010-0000-0700-000007000000}" name="Evidence / outpu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VerifyRollbackTbl" displayName="VerifyRollbackTbl" ref="A4:G14">
  <autoFilter ref="A4:G14" xr:uid="{00000000-0009-0000-0100-000009000000}"/>
  <tableColumns count="7">
    <tableColumn id="1" xr3:uid="{00000000-0010-0000-0800-000001000000}" name="#"/>
    <tableColumn id="2" xr3:uid="{00000000-0010-0000-0800-000002000000}" name="Step"/>
    <tableColumn id="3" xr3:uid="{00000000-0010-0000-0800-000003000000}" name="Action / command"/>
    <tableColumn id="4" xr3:uid="{00000000-0010-0000-0800-000004000000}" name="Expected result"/>
    <tableColumn id="5" xr3:uid="{00000000-0010-0000-0800-000005000000}" name="Owner"/>
    <tableColumn id="6" xr3:uid="{00000000-0010-0000-0800-000006000000}" name="Status"/>
    <tableColumn id="7" xr3:uid="{00000000-0010-0000-0800-000007000000}" name="Evidence / outpu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ommandsTbl" displayName="CommandsTbl" ref="A4:D21">
  <autoFilter ref="A4:D21" xr:uid="{00000000-0009-0000-0100-00000A000000}"/>
  <tableColumns count="4">
    <tableColumn id="1" xr3:uid="{00000000-0010-0000-0900-000001000000}" name="#"/>
    <tableColumn id="2" xr3:uid="{00000000-0010-0000-0900-000002000000}" name="Purpose"/>
    <tableColumn id="3" xr3:uid="{00000000-0010-0000-0900-000003000000}" name="Command"/>
    <tableColumn id="4" xr3:uid="{00000000-0010-0000-0900-000004000000}" name="Expected outpu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IntuneScriptsTbl" displayName="IntuneScriptsTbl" ref="A4:B11">
  <autoFilter ref="A4:B11" xr:uid="{00000000-0009-0000-0100-00000B000000}"/>
  <tableColumns count="2">
    <tableColumn id="1" xr3:uid="{00000000-0010-0000-0A00-000001000000}" name="Script / setting"/>
    <tableColumn id="2" xr3:uid="{00000000-0010-0000-0A00-000002000000}" name="Conten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ReferencesTbl" displayName="ReferencesTbl" ref="A4:C15">
  <autoFilter ref="A4:C15" xr:uid="{00000000-0009-0000-0100-00000C000000}"/>
  <tableColumns count="3">
    <tableColumn id="1" xr3:uid="{00000000-0010-0000-0B00-000001000000}" name="Source"/>
    <tableColumn id="2" xr3:uid="{00000000-0010-0000-0B00-000002000000}" name="Supports"/>
    <tableColumn id="3" xr3:uid="{00000000-0010-0000-0B00-000003000000}" name="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../scripts/Deploy-ClaudeProjection.ps1" TargetMode="External"/><Relationship Id="rId3" Type="http://schemas.openxmlformats.org/officeDocument/2006/relationships/hyperlink" Target="../DEVELOPER.md" TargetMode="External"/><Relationship Id="rId7" Type="http://schemas.openxmlformats.org/officeDocument/2006/relationships/hyperlink" Target="../scripts/New-ClaudeCodePolicy.ps1" TargetMode="External"/><Relationship Id="rId12" Type="http://schemas.openxmlformats.org/officeDocument/2006/relationships/table" Target="../tables/table12.xml"/><Relationship Id="rId2" Type="http://schemas.openxmlformats.org/officeDocument/2006/relationships/hyperlink" Target="UPDATE-AND-CHANGE.md" TargetMode="External"/><Relationship Id="rId1" Type="http://schemas.openxmlformats.org/officeDocument/2006/relationships/hyperlink" Target="SECURE-PROJECTION.md" TargetMode="External"/><Relationship Id="rId6" Type="http://schemas.openxmlformats.org/officeDocument/2006/relationships/hyperlink" Target="../scripts/New-ClaudeDesktopEntraApp.ps1" TargetMode="External"/><Relationship Id="rId11" Type="http://schemas.openxmlformats.org/officeDocument/2006/relationships/hyperlink" Target="adr/0027-claude-desktop-sign-in-choice.md" TargetMode="External"/><Relationship Id="rId5" Type="http://schemas.openxmlformats.org/officeDocument/2006/relationships/hyperlink" Target="PROJECTION-WORKBOOK.md" TargetMode="External"/><Relationship Id="rId10" Type="http://schemas.openxmlformats.org/officeDocument/2006/relationships/hyperlink" Target="../scripts/Compare-ClaudeEntitlement.ps1" TargetMode="External"/><Relationship Id="rId4" Type="http://schemas.openxmlformats.org/officeDocument/2006/relationships/hyperlink" Target="MDM.md" TargetMode="External"/><Relationship Id="rId9" Type="http://schemas.openxmlformats.org/officeDocument/2006/relationships/hyperlink" Target="../scripts/Sync-ClaudeAccess.ps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showGridLines="0" tabSelected="1" workbookViewId="0">
      <pane ySplit="4" topLeftCell="A5" activePane="bottomLeft" state="frozen"/>
      <selection pane="bottomLeft" sqref="A1:C1"/>
    </sheetView>
  </sheetViews>
  <sheetFormatPr defaultRowHeight="14.5" x14ac:dyDescent="0.35"/>
  <cols>
    <col min="1" max="1" width="22" customWidth="1"/>
    <col min="2" max="2" width="82" customWidth="1"/>
    <col min="3" max="3" width="30" customWidth="1"/>
  </cols>
  <sheetData>
    <row r="1" spans="1:3" ht="28" customHeight="1" x14ac:dyDescent="0.35">
      <c r="A1" s="13" t="s">
        <v>0</v>
      </c>
      <c r="B1" s="14"/>
      <c r="C1" s="14"/>
    </row>
    <row r="2" spans="1:3" ht="34" customHeight="1" x14ac:dyDescent="0.35">
      <c r="A2" s="15" t="s">
        <v>1</v>
      </c>
      <c r="B2" s="14"/>
      <c r="C2" s="14"/>
    </row>
    <row r="4" spans="1:3" ht="30" customHeight="1" x14ac:dyDescent="0.35">
      <c r="A4" s="1" t="s">
        <v>2</v>
      </c>
      <c r="B4" s="1" t="s">
        <v>3</v>
      </c>
      <c r="C4" s="1" t="s">
        <v>4</v>
      </c>
    </row>
    <row r="5" spans="1:3" x14ac:dyDescent="0.35">
      <c r="A5" s="2" t="s">
        <v>5</v>
      </c>
      <c r="B5" s="2" t="s">
        <v>6</v>
      </c>
      <c r="C5" s="2" t="s">
        <v>7</v>
      </c>
    </row>
    <row r="6" spans="1:3" x14ac:dyDescent="0.35">
      <c r="A6" s="2" t="s">
        <v>8</v>
      </c>
      <c r="B6" s="2" t="s">
        <v>9</v>
      </c>
      <c r="C6" s="2" t="s">
        <v>10</v>
      </c>
    </row>
    <row r="7" spans="1:3" x14ac:dyDescent="0.35">
      <c r="A7" s="2" t="s">
        <v>11</v>
      </c>
      <c r="B7" s="2" t="s">
        <v>12</v>
      </c>
      <c r="C7" s="2" t="s">
        <v>13</v>
      </c>
    </row>
    <row r="8" spans="1:3" x14ac:dyDescent="0.35">
      <c r="A8" s="2" t="s">
        <v>14</v>
      </c>
      <c r="B8" s="2" t="s">
        <v>15</v>
      </c>
      <c r="C8" s="2" t="s">
        <v>16</v>
      </c>
    </row>
    <row r="9" spans="1:3" x14ac:dyDescent="0.35">
      <c r="A9" s="2" t="s">
        <v>17</v>
      </c>
      <c r="B9" s="2" t="s">
        <v>18</v>
      </c>
      <c r="C9" s="2" t="s">
        <v>19</v>
      </c>
    </row>
    <row r="10" spans="1:3" x14ac:dyDescent="0.35">
      <c r="A10" s="2" t="s">
        <v>20</v>
      </c>
      <c r="B10" s="2" t="s">
        <v>21</v>
      </c>
      <c r="C10" s="2" t="s">
        <v>22</v>
      </c>
    </row>
    <row r="11" spans="1:3" x14ac:dyDescent="0.35">
      <c r="A11" s="2" t="s">
        <v>23</v>
      </c>
      <c r="B11" s="2" t="s">
        <v>24</v>
      </c>
      <c r="C11" s="2" t="s">
        <v>25</v>
      </c>
    </row>
    <row r="12" spans="1:3" x14ac:dyDescent="0.35">
      <c r="A12" s="2" t="s">
        <v>26</v>
      </c>
      <c r="B12" s="2" t="s">
        <v>27</v>
      </c>
      <c r="C12" s="2" t="s">
        <v>28</v>
      </c>
    </row>
    <row r="13" spans="1:3" x14ac:dyDescent="0.35">
      <c r="A13" s="2" t="s">
        <v>29</v>
      </c>
      <c r="B13" s="2" t="s">
        <v>30</v>
      </c>
      <c r="C13" s="2" t="s">
        <v>31</v>
      </c>
    </row>
    <row r="14" spans="1:3" x14ac:dyDescent="0.35">
      <c r="A14" s="2" t="s">
        <v>32</v>
      </c>
      <c r="B14" s="2" t="s">
        <v>33</v>
      </c>
      <c r="C14" s="2" t="s">
        <v>34</v>
      </c>
    </row>
    <row r="15" spans="1:3" x14ac:dyDescent="0.35">
      <c r="A15" s="2" t="s">
        <v>35</v>
      </c>
      <c r="B15" s="2" t="s">
        <v>36</v>
      </c>
      <c r="C15" s="2" t="s">
        <v>37</v>
      </c>
    </row>
    <row r="18" spans="1:2" ht="29" customHeight="1" x14ac:dyDescent="0.35">
      <c r="A18" s="3" t="s">
        <v>38</v>
      </c>
      <c r="B18" s="4" t="s">
        <v>39</v>
      </c>
    </row>
  </sheetData>
  <mergeCells count="2">
    <mergeCell ref="A1:C1"/>
    <mergeCell ref="A2:C2"/>
  </mergeCells>
  <pageMargins left="0.75" right="0.75" top="1" bottom="1" header="0.5" footer="0.5"/>
  <pageSetup fitToHeight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28" customWidth="1"/>
    <col min="2" max="2" width="47" customWidth="1"/>
    <col min="3" max="3" width="72" customWidth="1"/>
  </cols>
  <sheetData>
    <row r="1" spans="1:3" ht="28" customHeight="1" x14ac:dyDescent="0.35">
      <c r="A1" s="13" t="s">
        <v>40</v>
      </c>
      <c r="B1" s="14"/>
      <c r="C1" s="14"/>
    </row>
    <row r="2" spans="1:3" ht="34" customHeight="1" x14ac:dyDescent="0.35">
      <c r="A2" s="15" t="s">
        <v>41</v>
      </c>
      <c r="B2" s="14"/>
      <c r="C2" s="14"/>
    </row>
    <row r="4" spans="1:3" ht="30" customHeight="1" x14ac:dyDescent="0.35">
      <c r="A4" s="1" t="s">
        <v>42</v>
      </c>
      <c r="B4" s="1" t="s">
        <v>43</v>
      </c>
      <c r="C4" s="1" t="s">
        <v>44</v>
      </c>
    </row>
    <row r="5" spans="1:3" x14ac:dyDescent="0.35">
      <c r="A5" s="2" t="s">
        <v>45</v>
      </c>
      <c r="B5" s="5" t="s">
        <v>46</v>
      </c>
      <c r="C5" s="2" t="s">
        <v>47</v>
      </c>
    </row>
    <row r="6" spans="1:3" x14ac:dyDescent="0.35">
      <c r="A6" s="2" t="s">
        <v>48</v>
      </c>
      <c r="B6" s="5" t="s">
        <v>49</v>
      </c>
      <c r="C6" s="2" t="s">
        <v>50</v>
      </c>
    </row>
    <row r="7" spans="1:3" x14ac:dyDescent="0.35">
      <c r="A7" s="2" t="s">
        <v>51</v>
      </c>
      <c r="B7" s="5" t="s">
        <v>52</v>
      </c>
      <c r="C7" s="2" t="s">
        <v>50</v>
      </c>
    </row>
    <row r="8" spans="1:3" x14ac:dyDescent="0.35">
      <c r="A8" s="2" t="s">
        <v>53</v>
      </c>
      <c r="B8" s="5" t="s">
        <v>54</v>
      </c>
      <c r="C8" s="2" t="s">
        <v>55</v>
      </c>
    </row>
    <row r="9" spans="1:3" x14ac:dyDescent="0.35">
      <c r="A9" s="2" t="s">
        <v>56</v>
      </c>
      <c r="B9" s="5" t="s">
        <v>57</v>
      </c>
      <c r="C9" s="2" t="s">
        <v>58</v>
      </c>
    </row>
    <row r="10" spans="1:3" x14ac:dyDescent="0.35">
      <c r="A10" s="2" t="s">
        <v>59</v>
      </c>
      <c r="B10" s="5" t="s">
        <v>60</v>
      </c>
      <c r="C10" s="2" t="s">
        <v>61</v>
      </c>
    </row>
    <row r="11" spans="1:3" x14ac:dyDescent="0.35">
      <c r="A11" s="2" t="s">
        <v>62</v>
      </c>
      <c r="B11" s="5" t="s">
        <v>63</v>
      </c>
      <c r="C11" s="2" t="s">
        <v>64</v>
      </c>
    </row>
    <row r="12" spans="1:3" x14ac:dyDescent="0.35">
      <c r="A12" s="2" t="s">
        <v>65</v>
      </c>
      <c r="B12" s="5" t="s">
        <v>66</v>
      </c>
      <c r="C12" s="2" t="s">
        <v>67</v>
      </c>
    </row>
    <row r="13" spans="1:3" x14ac:dyDescent="0.35">
      <c r="A13" s="2" t="s">
        <v>68</v>
      </c>
      <c r="B13" s="5" t="s">
        <v>69</v>
      </c>
      <c r="C13" s="2" t="s">
        <v>70</v>
      </c>
    </row>
    <row r="14" spans="1:3" x14ac:dyDescent="0.35">
      <c r="A14" s="2" t="s">
        <v>71</v>
      </c>
      <c r="B14" s="5" t="s">
        <v>72</v>
      </c>
      <c r="C14" s="2" t="s">
        <v>73</v>
      </c>
    </row>
    <row r="15" spans="1:3" x14ac:dyDescent="0.35">
      <c r="A15" s="2" t="s">
        <v>74</v>
      </c>
      <c r="B15" s="5" t="s">
        <v>75</v>
      </c>
      <c r="C15" s="2" t="s">
        <v>76</v>
      </c>
    </row>
    <row r="16" spans="1:3" x14ac:dyDescent="0.35">
      <c r="A16" s="2" t="s">
        <v>77</v>
      </c>
      <c r="B16" s="5" t="s">
        <v>78</v>
      </c>
      <c r="C16" s="2" t="s">
        <v>76</v>
      </c>
    </row>
    <row r="17" spans="1:3" x14ac:dyDescent="0.35">
      <c r="A17" s="2" t="s">
        <v>79</v>
      </c>
      <c r="B17" s="5" t="s">
        <v>80</v>
      </c>
      <c r="C17" s="2" t="s">
        <v>81</v>
      </c>
    </row>
    <row r="18" spans="1:3" x14ac:dyDescent="0.35">
      <c r="A18" s="2" t="s">
        <v>82</v>
      </c>
      <c r="B18" s="5" t="s">
        <v>83</v>
      </c>
      <c r="C18" s="2" t="s">
        <v>84</v>
      </c>
    </row>
    <row r="19" spans="1:3" x14ac:dyDescent="0.35">
      <c r="A19" s="2" t="s">
        <v>85</v>
      </c>
      <c r="B19" s="5" t="s">
        <v>86</v>
      </c>
      <c r="C19" s="2" t="s">
        <v>84</v>
      </c>
    </row>
    <row r="20" spans="1:3" x14ac:dyDescent="0.35">
      <c r="A20" s="2" t="s">
        <v>87</v>
      </c>
      <c r="B20" s="5" t="s">
        <v>88</v>
      </c>
      <c r="C20" s="2" t="s">
        <v>89</v>
      </c>
    </row>
    <row r="21" spans="1:3" x14ac:dyDescent="0.35">
      <c r="A21" s="2" t="s">
        <v>90</v>
      </c>
      <c r="B21" s="5" t="s">
        <v>91</v>
      </c>
      <c r="C21" s="2" t="s">
        <v>92</v>
      </c>
    </row>
    <row r="22" spans="1:3" x14ac:dyDescent="0.35">
      <c r="A22" s="2" t="s">
        <v>93</v>
      </c>
      <c r="B22" s="5" t="s">
        <v>91</v>
      </c>
      <c r="C22" s="2" t="s">
        <v>94</v>
      </c>
    </row>
    <row r="23" spans="1:3" x14ac:dyDescent="0.35">
      <c r="A23" s="2" t="s">
        <v>95</v>
      </c>
      <c r="B23" s="5" t="s">
        <v>91</v>
      </c>
      <c r="C23" s="2" t="s">
        <v>96</v>
      </c>
    </row>
    <row r="24" spans="1:3" x14ac:dyDescent="0.35">
      <c r="A24" s="2" t="s">
        <v>97</v>
      </c>
      <c r="B24" s="5" t="s">
        <v>98</v>
      </c>
      <c r="C24" s="2" t="s">
        <v>99</v>
      </c>
    </row>
    <row r="25" spans="1:3" x14ac:dyDescent="0.35">
      <c r="A25" s="2" t="s">
        <v>100</v>
      </c>
      <c r="B25" s="5" t="s">
        <v>101</v>
      </c>
      <c r="C25" s="2" t="s">
        <v>102</v>
      </c>
    </row>
  </sheetData>
  <mergeCells count="2">
    <mergeCell ref="A1:C1"/>
    <mergeCell ref="A2:C2"/>
  </mergeCells>
  <dataValidations count="2">
    <dataValidation type="list" sqref="B12" xr:uid="{00000000-0002-0000-0100-000000000000}">
      <formula1>"BasicV2,StandardV2,PremiumV2"</formula1>
    </dataValidation>
    <dataValidation type="list" sqref="B13" xr:uid="{00000000-0002-0000-0100-000001000000}">
      <formula1>"public,private"</formula1>
    </dataValidation>
  </dataValidations>
  <pageMargins left="0.75" right="0.75" top="1" bottom="1" header="0.5" footer="0.5"/>
  <pageSetup fitToHeight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0" customWidth="1"/>
    <col min="2" max="2" width="26" customWidth="1"/>
    <col min="3" max="3" width="76" customWidth="1"/>
  </cols>
  <sheetData>
    <row r="1" spans="1:3" ht="28" customHeight="1" x14ac:dyDescent="0.35">
      <c r="A1" s="13" t="s">
        <v>103</v>
      </c>
      <c r="B1" s="14"/>
      <c r="C1" s="14"/>
    </row>
    <row r="2" spans="1:3" ht="34" customHeight="1" x14ac:dyDescent="0.35">
      <c r="A2" s="15" t="s">
        <v>104</v>
      </c>
      <c r="B2" s="14"/>
      <c r="C2" s="14"/>
    </row>
    <row r="4" spans="1:3" ht="20" customHeight="1" x14ac:dyDescent="0.4">
      <c r="A4" s="6" t="s">
        <v>105</v>
      </c>
      <c r="B4" s="7" t="str">
        <f>IF(COUNTIF(Preflight!F5:F20,"FAIL")&gt;0,"NO-GO",IF(COUNTBLANK(Preflight!F5:F20)&gt;0,"INCOMPLETE","GO"))</f>
        <v>INCOMPLETE</v>
      </c>
    </row>
    <row r="6" spans="1:3" x14ac:dyDescent="0.35">
      <c r="A6" s="8" t="s">
        <v>106</v>
      </c>
      <c r="B6" s="8">
        <f>COUNTIF(Preflight!F5:F20,"FAIL")</f>
        <v>0</v>
      </c>
    </row>
    <row r="7" spans="1:3" x14ac:dyDescent="0.35">
      <c r="A7" s="8" t="s">
        <v>107</v>
      </c>
      <c r="B7" s="8">
        <f>COUNTBLANK(Preflight!F5:F20)</f>
        <v>16</v>
      </c>
    </row>
    <row r="8" spans="1:3" x14ac:dyDescent="0.35">
      <c r="A8" s="8" t="s">
        <v>108</v>
      </c>
      <c r="B8" s="8">
        <f>COUNTIF(Preflight!F5:F20,"PASS")</f>
        <v>0</v>
      </c>
    </row>
    <row r="9" spans="1:3" x14ac:dyDescent="0.35">
      <c r="A9" s="8" t="s">
        <v>109</v>
      </c>
      <c r="B9" s="8">
        <f>COUNTIF(Preflight!F5:F20,"N/A")</f>
        <v>0</v>
      </c>
    </row>
    <row r="12" spans="1:3" ht="30" customHeight="1" x14ac:dyDescent="0.35">
      <c r="A12" s="1" t="s">
        <v>110</v>
      </c>
      <c r="B12" s="1" t="s">
        <v>111</v>
      </c>
      <c r="C12" s="1" t="s">
        <v>112</v>
      </c>
    </row>
    <row r="13" spans="1:3" ht="25" customHeight="1" x14ac:dyDescent="0.35">
      <c r="A13" s="9" t="s">
        <v>113</v>
      </c>
      <c r="B13" s="9" t="s">
        <v>114</v>
      </c>
      <c r="C13" s="9" t="s">
        <v>115</v>
      </c>
    </row>
    <row r="14" spans="1:3" ht="25" customHeight="1" x14ac:dyDescent="0.35">
      <c r="A14" s="9" t="s">
        <v>116</v>
      </c>
      <c r="B14" s="9" t="s">
        <v>117</v>
      </c>
      <c r="C14" s="9" t="s">
        <v>118</v>
      </c>
    </row>
    <row r="15" spans="1:3" ht="25" customHeight="1" x14ac:dyDescent="0.35">
      <c r="A15" s="9" t="s">
        <v>119</v>
      </c>
      <c r="B15" s="9" t="s">
        <v>120</v>
      </c>
      <c r="C15" s="9" t="s">
        <v>121</v>
      </c>
    </row>
    <row r="16" spans="1:3" ht="25" customHeight="1" x14ac:dyDescent="0.35">
      <c r="A16" s="9" t="s">
        <v>122</v>
      </c>
      <c r="B16" s="9" t="s">
        <v>123</v>
      </c>
      <c r="C16" s="9" t="s">
        <v>121</v>
      </c>
    </row>
    <row r="17" spans="1:3" ht="25" customHeight="1" x14ac:dyDescent="0.35">
      <c r="A17" s="9" t="s">
        <v>124</v>
      </c>
      <c r="B17" s="9" t="s">
        <v>125</v>
      </c>
      <c r="C17" s="9" t="s">
        <v>121</v>
      </c>
    </row>
    <row r="18" spans="1:3" ht="25" customHeight="1" x14ac:dyDescent="0.35">
      <c r="A18" s="9" t="s">
        <v>126</v>
      </c>
      <c r="B18" s="9" t="s">
        <v>127</v>
      </c>
      <c r="C18" s="9" t="s">
        <v>128</v>
      </c>
    </row>
  </sheetData>
  <mergeCells count="2">
    <mergeCell ref="A1:C1"/>
    <mergeCell ref="A2:C2"/>
  </mergeCells>
  <conditionalFormatting sqref="B4">
    <cfRule type="cellIs" dxfId="22" priority="1" operator="equal">
      <formula>"GO"</formula>
    </cfRule>
    <cfRule type="cellIs" dxfId="21" priority="2" operator="equal">
      <formula>"NO-GO"</formula>
    </cfRule>
    <cfRule type="cellIs" dxfId="20" priority="3" operator="equal">
      <formula>"INCOMPLETE"</formula>
    </cfRule>
  </conditionalFormatting>
  <pageMargins left="0.75" right="0.75" top="1" bottom="1" header="0.5" footer="0.5"/>
  <pageSetup fitToHeight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25" customWidth="1"/>
    <col min="2" max="2" width="38" customWidth="1"/>
    <col min="3" max="3" width="58" customWidth="1"/>
    <col min="4" max="4" width="30" customWidth="1"/>
  </cols>
  <sheetData>
    <row r="1" spans="1:4" ht="28" customHeight="1" x14ac:dyDescent="0.35">
      <c r="A1" s="13" t="s">
        <v>129</v>
      </c>
      <c r="B1" s="14"/>
      <c r="C1" s="14"/>
      <c r="D1" s="14"/>
    </row>
    <row r="2" spans="1:4" ht="34" customHeight="1" x14ac:dyDescent="0.35">
      <c r="A2" s="15" t="s">
        <v>130</v>
      </c>
      <c r="B2" s="14"/>
      <c r="C2" s="14"/>
      <c r="D2" s="14"/>
    </row>
    <row r="4" spans="1:4" ht="30" customHeight="1" x14ac:dyDescent="0.35">
      <c r="A4" s="1" t="s">
        <v>131</v>
      </c>
      <c r="B4" s="1" t="s">
        <v>132</v>
      </c>
      <c r="C4" s="1" t="s">
        <v>133</v>
      </c>
      <c r="D4" s="1" t="s">
        <v>134</v>
      </c>
    </row>
    <row r="5" spans="1:4" ht="25" customHeight="1" x14ac:dyDescent="0.35">
      <c r="A5" s="2" t="s">
        <v>90</v>
      </c>
      <c r="B5" s="2" t="s">
        <v>135</v>
      </c>
      <c r="C5" s="2" t="s">
        <v>136</v>
      </c>
      <c r="D5" s="2" t="str">
        <f>Inputs!B21</f>
        <v>&lt;name&gt;</v>
      </c>
    </row>
    <row r="6" spans="1:4" ht="25" customHeight="1" x14ac:dyDescent="0.35">
      <c r="A6" s="2" t="s">
        <v>137</v>
      </c>
      <c r="B6" s="2" t="s">
        <v>138</v>
      </c>
      <c r="C6" s="2" t="s">
        <v>139</v>
      </c>
      <c r="D6" s="2" t="str">
        <f>Inputs!B22</f>
        <v>&lt;name&gt;</v>
      </c>
    </row>
    <row r="7" spans="1:4" x14ac:dyDescent="0.35">
      <c r="A7" s="2" t="s">
        <v>140</v>
      </c>
      <c r="B7" s="2" t="s">
        <v>141</v>
      </c>
      <c r="C7" s="2" t="s">
        <v>142</v>
      </c>
      <c r="D7" s="2" t="str">
        <f>Inputs!B22</f>
        <v>&lt;name&gt;</v>
      </c>
    </row>
    <row r="8" spans="1:4" x14ac:dyDescent="0.35">
      <c r="A8" s="2" t="s">
        <v>95</v>
      </c>
      <c r="B8" s="2" t="s">
        <v>143</v>
      </c>
      <c r="C8" s="2" t="s">
        <v>144</v>
      </c>
      <c r="D8" s="2" t="str">
        <f>Inputs!B23</f>
        <v>&lt;name&gt;</v>
      </c>
    </row>
    <row r="9" spans="1:4" x14ac:dyDescent="0.35">
      <c r="A9" s="2" t="s">
        <v>145</v>
      </c>
      <c r="B9" s="2" t="s">
        <v>146</v>
      </c>
      <c r="C9" s="2" t="s">
        <v>147</v>
      </c>
      <c r="D9" s="2" t="s">
        <v>91</v>
      </c>
    </row>
    <row r="10" spans="1:4" x14ac:dyDescent="0.35">
      <c r="A10" s="2" t="s">
        <v>148</v>
      </c>
      <c r="B10" s="2" t="s">
        <v>149</v>
      </c>
      <c r="C10" s="2" t="s">
        <v>150</v>
      </c>
      <c r="D10" s="2" t="s">
        <v>91</v>
      </c>
    </row>
  </sheetData>
  <mergeCells count="2">
    <mergeCell ref="A1:D1"/>
    <mergeCell ref="A2:D2"/>
  </mergeCells>
  <pageMargins left="0.75" right="0.75" top="1" bottom="1" header="0.5" footer="0.5"/>
  <pageSetup fitToHeight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7" customWidth="1"/>
    <col min="2" max="2" width="30" customWidth="1"/>
    <col min="3" max="3" width="50" customWidth="1"/>
    <col min="4" max="4" width="44" customWidth="1"/>
    <col min="5" max="5" width="25" customWidth="1"/>
    <col min="6" max="6" width="14" customWidth="1"/>
    <col min="7" max="7" width="52" customWidth="1"/>
  </cols>
  <sheetData>
    <row r="1" spans="1:7" ht="28" customHeight="1" x14ac:dyDescent="0.35">
      <c r="A1" s="13" t="s">
        <v>151</v>
      </c>
      <c r="B1" s="14"/>
      <c r="C1" s="14"/>
      <c r="D1" s="14"/>
      <c r="E1" s="14"/>
      <c r="F1" s="14"/>
      <c r="G1" s="14"/>
    </row>
    <row r="2" spans="1:7" ht="34" customHeight="1" x14ac:dyDescent="0.35">
      <c r="A2" s="15" t="s">
        <v>152</v>
      </c>
      <c r="B2" s="14"/>
      <c r="C2" s="14"/>
      <c r="D2" s="14"/>
      <c r="E2" s="14"/>
      <c r="F2" s="14"/>
      <c r="G2" s="14"/>
    </row>
    <row r="4" spans="1:7" ht="30" customHeight="1" x14ac:dyDescent="0.35">
      <c r="A4" s="1" t="s">
        <v>153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159</v>
      </c>
    </row>
    <row r="5" spans="1:7" x14ac:dyDescent="0.35">
      <c r="A5" s="2">
        <v>1</v>
      </c>
      <c r="B5" s="2" t="s">
        <v>160</v>
      </c>
      <c r="C5" s="2" t="s">
        <v>161</v>
      </c>
      <c r="D5" s="2" t="s">
        <v>162</v>
      </c>
      <c r="E5" s="2" t="s">
        <v>90</v>
      </c>
      <c r="F5" s="10"/>
      <c r="G5" s="2"/>
    </row>
    <row r="6" spans="1:7" x14ac:dyDescent="0.35">
      <c r="A6" s="2">
        <v>2</v>
      </c>
      <c r="B6" s="2" t="s">
        <v>163</v>
      </c>
      <c r="C6" s="2" t="s">
        <v>50</v>
      </c>
      <c r="D6" s="2" t="s">
        <v>164</v>
      </c>
      <c r="E6" s="2" t="s">
        <v>90</v>
      </c>
      <c r="F6" s="10"/>
      <c r="G6" s="2"/>
    </row>
    <row r="7" spans="1:7" x14ac:dyDescent="0.35">
      <c r="A7" s="2">
        <v>3</v>
      </c>
      <c r="B7" s="2" t="s">
        <v>165</v>
      </c>
      <c r="C7" s="2" t="s">
        <v>166</v>
      </c>
      <c r="D7" s="2" t="s">
        <v>167</v>
      </c>
      <c r="E7" s="2" t="s">
        <v>90</v>
      </c>
      <c r="F7" s="10"/>
      <c r="G7" s="2"/>
    </row>
    <row r="8" spans="1:7" x14ac:dyDescent="0.35">
      <c r="A8" s="2">
        <v>4</v>
      </c>
      <c r="B8" s="2" t="s">
        <v>168</v>
      </c>
      <c r="C8" s="2" t="s">
        <v>169</v>
      </c>
      <c r="D8" s="2" t="s">
        <v>170</v>
      </c>
      <c r="E8" s="2" t="s">
        <v>90</v>
      </c>
      <c r="F8" s="10"/>
      <c r="G8" s="2"/>
    </row>
    <row r="9" spans="1:7" x14ac:dyDescent="0.35">
      <c r="A9" s="2">
        <v>5</v>
      </c>
      <c r="B9" s="2" t="s">
        <v>171</v>
      </c>
      <c r="C9" s="2" t="s">
        <v>172</v>
      </c>
      <c r="D9" s="2" t="s">
        <v>173</v>
      </c>
      <c r="E9" s="2" t="s">
        <v>90</v>
      </c>
      <c r="F9" s="10"/>
      <c r="G9" s="2"/>
    </row>
    <row r="10" spans="1:7" x14ac:dyDescent="0.35">
      <c r="A10" s="2">
        <v>6</v>
      </c>
      <c r="B10" s="2" t="s">
        <v>174</v>
      </c>
      <c r="C10" s="2" t="s">
        <v>175</v>
      </c>
      <c r="D10" s="2" t="s">
        <v>176</v>
      </c>
      <c r="E10" s="2" t="s">
        <v>177</v>
      </c>
      <c r="F10" s="10"/>
      <c r="G10" s="2"/>
    </row>
    <row r="11" spans="1:7" x14ac:dyDescent="0.35">
      <c r="A11" s="2">
        <v>7</v>
      </c>
      <c r="B11" s="2" t="s">
        <v>178</v>
      </c>
      <c r="C11" s="2" t="s">
        <v>179</v>
      </c>
      <c r="D11" s="2" t="s">
        <v>180</v>
      </c>
      <c r="E11" s="2" t="s">
        <v>177</v>
      </c>
      <c r="F11" s="10"/>
      <c r="G11" s="2"/>
    </row>
    <row r="12" spans="1:7" x14ac:dyDescent="0.35">
      <c r="A12" s="2">
        <v>8</v>
      </c>
      <c r="B12" s="2" t="s">
        <v>181</v>
      </c>
      <c r="C12" s="2" t="s">
        <v>182</v>
      </c>
      <c r="D12" s="2" t="s">
        <v>183</v>
      </c>
      <c r="E12" s="2" t="s">
        <v>90</v>
      </c>
      <c r="F12" s="10"/>
      <c r="G12" s="2"/>
    </row>
    <row r="13" spans="1:7" x14ac:dyDescent="0.35">
      <c r="A13" s="2">
        <v>9</v>
      </c>
      <c r="B13" s="2" t="s">
        <v>184</v>
      </c>
      <c r="C13" s="2" t="s">
        <v>185</v>
      </c>
      <c r="D13" s="2" t="s">
        <v>186</v>
      </c>
      <c r="E13" s="2" t="s">
        <v>177</v>
      </c>
      <c r="F13" s="10"/>
      <c r="G13" s="2"/>
    </row>
    <row r="14" spans="1:7" x14ac:dyDescent="0.35">
      <c r="A14" s="2">
        <v>10</v>
      </c>
      <c r="B14" s="2" t="s">
        <v>187</v>
      </c>
      <c r="C14" s="2" t="s">
        <v>185</v>
      </c>
      <c r="D14" s="2" t="s">
        <v>188</v>
      </c>
      <c r="E14" s="2" t="s">
        <v>177</v>
      </c>
      <c r="F14" s="10"/>
      <c r="G14" s="2"/>
    </row>
    <row r="15" spans="1:7" x14ac:dyDescent="0.35">
      <c r="A15" s="2">
        <v>11</v>
      </c>
      <c r="B15" s="2" t="s">
        <v>189</v>
      </c>
      <c r="C15" s="2" t="s">
        <v>185</v>
      </c>
      <c r="D15" s="2" t="s">
        <v>190</v>
      </c>
      <c r="E15" s="2" t="s">
        <v>90</v>
      </c>
      <c r="F15" s="10"/>
      <c r="G15" s="2"/>
    </row>
    <row r="16" spans="1:7" x14ac:dyDescent="0.35">
      <c r="A16" s="2">
        <v>12</v>
      </c>
      <c r="B16" s="2" t="s">
        <v>191</v>
      </c>
      <c r="C16" s="2" t="s">
        <v>185</v>
      </c>
      <c r="D16" s="2" t="s">
        <v>192</v>
      </c>
      <c r="E16" s="2" t="s">
        <v>90</v>
      </c>
      <c r="F16" s="10"/>
      <c r="G16" s="2"/>
    </row>
    <row r="17" spans="1:7" x14ac:dyDescent="0.35">
      <c r="A17" s="2">
        <v>13</v>
      </c>
      <c r="B17" s="2" t="s">
        <v>193</v>
      </c>
      <c r="C17" s="2" t="s">
        <v>194</v>
      </c>
      <c r="D17" s="2" t="s">
        <v>195</v>
      </c>
      <c r="E17" s="2" t="s">
        <v>196</v>
      </c>
      <c r="F17" s="10"/>
      <c r="G17" s="2"/>
    </row>
    <row r="18" spans="1:7" x14ac:dyDescent="0.35">
      <c r="A18" s="2">
        <v>14</v>
      </c>
      <c r="B18" s="2" t="s">
        <v>116</v>
      </c>
      <c r="C18" s="2" t="s">
        <v>197</v>
      </c>
      <c r="D18" s="2" t="s">
        <v>198</v>
      </c>
      <c r="E18" s="2" t="s">
        <v>199</v>
      </c>
      <c r="F18" s="10"/>
      <c r="G18" s="2"/>
    </row>
    <row r="19" spans="1:7" x14ac:dyDescent="0.35">
      <c r="A19" s="2">
        <v>15</v>
      </c>
      <c r="B19" s="2" t="s">
        <v>200</v>
      </c>
      <c r="C19" s="2" t="s">
        <v>201</v>
      </c>
      <c r="D19" s="2" t="s">
        <v>134</v>
      </c>
      <c r="E19" s="2" t="s">
        <v>202</v>
      </c>
      <c r="F19" s="10"/>
      <c r="G19" s="2"/>
    </row>
    <row r="20" spans="1:7" x14ac:dyDescent="0.35">
      <c r="A20" s="2">
        <v>16</v>
      </c>
      <c r="B20" s="2" t="s">
        <v>203</v>
      </c>
      <c r="C20" s="2" t="s">
        <v>201</v>
      </c>
      <c r="D20" s="2" t="s">
        <v>204</v>
      </c>
      <c r="E20" s="2" t="s">
        <v>202</v>
      </c>
      <c r="F20" s="10"/>
      <c r="G20" s="2"/>
    </row>
  </sheetData>
  <mergeCells count="2">
    <mergeCell ref="A2:G2"/>
    <mergeCell ref="A1:G1"/>
  </mergeCells>
  <conditionalFormatting sqref="F5:F20">
    <cfRule type="cellIs" dxfId="19" priority="1" operator="equal">
      <formula>"FAIL"</formula>
    </cfRule>
    <cfRule type="cellIs" dxfId="18" priority="2" operator="equal">
      <formula>"BLOCKED"</formula>
    </cfRule>
    <cfRule type="cellIs" dxfId="17" priority="3" operator="equal">
      <formula>"PASS"</formula>
    </cfRule>
    <cfRule type="cellIs" dxfId="16" priority="4" operator="equal">
      <formula>"DONE"</formula>
    </cfRule>
  </conditionalFormatting>
  <dataValidations count="1">
    <dataValidation type="list" sqref="F5:F20" xr:uid="{00000000-0002-0000-0400-000000000000}">
      <formula1>"PASS,FAIL,N/A"</formula1>
    </dataValidation>
  </dataValidations>
  <pageMargins left="0.75" right="0.75" top="1" bottom="1" header="0.5" footer="0.5"/>
  <pageSetup fitToHeight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7" customWidth="1"/>
    <col min="2" max="2" width="28" customWidth="1"/>
    <col min="3" max="3" width="58" customWidth="1"/>
    <col min="4" max="4" width="54" customWidth="1"/>
    <col min="5" max="5" width="27" customWidth="1"/>
    <col min="6" max="6" width="16" customWidth="1"/>
    <col min="7" max="7" width="46" customWidth="1"/>
  </cols>
  <sheetData>
    <row r="1" spans="1:7" ht="28" customHeight="1" x14ac:dyDescent="0.35">
      <c r="A1" s="13" t="s">
        <v>205</v>
      </c>
      <c r="B1" s="14"/>
      <c r="C1" s="14"/>
      <c r="D1" s="14"/>
      <c r="E1" s="14"/>
      <c r="F1" s="14"/>
      <c r="G1" s="14"/>
    </row>
    <row r="2" spans="1:7" ht="34" customHeight="1" x14ac:dyDescent="0.35">
      <c r="A2" s="15" t="s">
        <v>206</v>
      </c>
      <c r="B2" s="14"/>
      <c r="C2" s="14"/>
      <c r="D2" s="14"/>
      <c r="E2" s="14"/>
      <c r="F2" s="14"/>
      <c r="G2" s="14"/>
    </row>
    <row r="4" spans="1:7" ht="30" customHeight="1" x14ac:dyDescent="0.35">
      <c r="A4" s="1" t="s">
        <v>153</v>
      </c>
      <c r="B4" s="1" t="s">
        <v>207</v>
      </c>
      <c r="C4" s="1" t="s">
        <v>208</v>
      </c>
      <c r="D4" s="1" t="s">
        <v>209</v>
      </c>
      <c r="E4" s="1" t="s">
        <v>157</v>
      </c>
      <c r="F4" s="1" t="s">
        <v>158</v>
      </c>
      <c r="G4" s="1" t="s">
        <v>210</v>
      </c>
    </row>
    <row r="5" spans="1:7" x14ac:dyDescent="0.35">
      <c r="A5" s="2">
        <v>1</v>
      </c>
      <c r="B5" s="2" t="s">
        <v>211</v>
      </c>
      <c r="C5" s="2" t="s">
        <v>212</v>
      </c>
      <c r="D5" s="2" t="s">
        <v>213</v>
      </c>
      <c r="E5" s="2" t="s">
        <v>177</v>
      </c>
      <c r="F5" s="5" t="s">
        <v>214</v>
      </c>
      <c r="G5" s="2"/>
    </row>
    <row r="6" spans="1:7" x14ac:dyDescent="0.35">
      <c r="A6" s="2">
        <v>2</v>
      </c>
      <c r="B6" s="2" t="s">
        <v>215</v>
      </c>
      <c r="C6" s="2" t="s">
        <v>216</v>
      </c>
      <c r="D6" s="2" t="s">
        <v>217</v>
      </c>
      <c r="E6" s="2" t="s">
        <v>177</v>
      </c>
      <c r="F6" s="5" t="s">
        <v>214</v>
      </c>
      <c r="G6" s="2"/>
    </row>
    <row r="7" spans="1:7" x14ac:dyDescent="0.35">
      <c r="A7" s="2">
        <v>3</v>
      </c>
      <c r="B7" s="2" t="s">
        <v>218</v>
      </c>
      <c r="C7" s="2" t="s">
        <v>219</v>
      </c>
      <c r="D7" s="2" t="s">
        <v>220</v>
      </c>
      <c r="E7" s="2" t="s">
        <v>90</v>
      </c>
      <c r="F7" s="5" t="s">
        <v>214</v>
      </c>
      <c r="G7" s="2"/>
    </row>
    <row r="8" spans="1:7" x14ac:dyDescent="0.35">
      <c r="A8" s="2">
        <v>4</v>
      </c>
      <c r="B8" s="2" t="s">
        <v>221</v>
      </c>
      <c r="C8" s="2" t="s">
        <v>222</v>
      </c>
      <c r="D8" s="2" t="s">
        <v>223</v>
      </c>
      <c r="E8" s="2" t="s">
        <v>90</v>
      </c>
      <c r="F8" s="5" t="s">
        <v>214</v>
      </c>
      <c r="G8" s="2"/>
    </row>
    <row r="9" spans="1:7" x14ac:dyDescent="0.35">
      <c r="A9" s="2">
        <v>5</v>
      </c>
      <c r="B9" s="2" t="s">
        <v>224</v>
      </c>
      <c r="C9" s="2" t="s">
        <v>225</v>
      </c>
      <c r="D9" s="2" t="s">
        <v>226</v>
      </c>
      <c r="E9" s="2" t="s">
        <v>90</v>
      </c>
      <c r="F9" s="5" t="s">
        <v>214</v>
      </c>
      <c r="G9" s="2"/>
    </row>
    <row r="10" spans="1:7" x14ac:dyDescent="0.35">
      <c r="A10" s="2">
        <v>6</v>
      </c>
      <c r="B10" s="2" t="s">
        <v>227</v>
      </c>
      <c r="C10" s="2" t="s">
        <v>228</v>
      </c>
      <c r="D10" s="2" t="s">
        <v>229</v>
      </c>
      <c r="E10" s="2" t="s">
        <v>90</v>
      </c>
      <c r="F10" s="5" t="s">
        <v>214</v>
      </c>
      <c r="G10" s="2"/>
    </row>
    <row r="11" spans="1:7" x14ac:dyDescent="0.35">
      <c r="A11" s="2">
        <v>7</v>
      </c>
      <c r="B11" s="2" t="s">
        <v>230</v>
      </c>
      <c r="C11" s="2" t="s">
        <v>231</v>
      </c>
      <c r="D11" s="2" t="s">
        <v>229</v>
      </c>
      <c r="E11" s="2" t="s">
        <v>90</v>
      </c>
      <c r="F11" s="5" t="s">
        <v>214</v>
      </c>
      <c r="G11" s="2"/>
    </row>
    <row r="12" spans="1:7" x14ac:dyDescent="0.35">
      <c r="A12" s="2">
        <v>8</v>
      </c>
      <c r="B12" s="2" t="s">
        <v>232</v>
      </c>
      <c r="C12" s="2" t="s">
        <v>233</v>
      </c>
      <c r="D12" s="2" t="s">
        <v>234</v>
      </c>
      <c r="E12" s="2" t="s">
        <v>235</v>
      </c>
      <c r="F12" s="5" t="s">
        <v>214</v>
      </c>
      <c r="G12" s="2"/>
    </row>
  </sheetData>
  <mergeCells count="2">
    <mergeCell ref="A2:G2"/>
    <mergeCell ref="A1:G1"/>
  </mergeCells>
  <conditionalFormatting sqref="F5:F12">
    <cfRule type="cellIs" dxfId="15" priority="1" operator="equal">
      <formula>"FAIL"</formula>
    </cfRule>
    <cfRule type="cellIs" dxfId="14" priority="2" operator="equal">
      <formula>"BLOCKED"</formula>
    </cfRule>
    <cfRule type="cellIs" dxfId="13" priority="3" operator="equal">
      <formula>"PASS"</formula>
    </cfRule>
    <cfRule type="cellIs" dxfId="12" priority="4" operator="equal">
      <formula>"DONE"</formula>
    </cfRule>
  </conditionalFormatting>
  <dataValidations count="1">
    <dataValidation type="list" sqref="F5:F12" xr:uid="{00000000-0002-0000-0500-000000000000}">
      <formula1>"NOT STARTED,IN PROGRESS,DONE,BLOCKED,N/A"</formula1>
    </dataValidation>
  </dataValidations>
  <pageMargins left="0.75" right="0.75" top="1" bottom="1" header="0.5" footer="0.5"/>
  <pageSetup fitToHeight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7" customWidth="1"/>
    <col min="2" max="2" width="28" customWidth="1"/>
    <col min="3" max="3" width="58" customWidth="1"/>
    <col min="4" max="4" width="54" customWidth="1"/>
    <col min="5" max="5" width="27" customWidth="1"/>
    <col min="6" max="6" width="16" customWidth="1"/>
    <col min="7" max="7" width="46" customWidth="1"/>
  </cols>
  <sheetData>
    <row r="1" spans="1:7" ht="28" customHeight="1" x14ac:dyDescent="0.35">
      <c r="A1" s="13" t="s">
        <v>236</v>
      </c>
      <c r="B1" s="14"/>
      <c r="C1" s="14"/>
      <c r="D1" s="14"/>
      <c r="E1" s="14"/>
      <c r="F1" s="14"/>
      <c r="G1" s="14"/>
    </row>
    <row r="2" spans="1:7" ht="34" customHeight="1" x14ac:dyDescent="0.35">
      <c r="A2" s="15" t="s">
        <v>237</v>
      </c>
      <c r="B2" s="14"/>
      <c r="C2" s="14"/>
      <c r="D2" s="14"/>
      <c r="E2" s="14"/>
      <c r="F2" s="14"/>
      <c r="G2" s="14"/>
    </row>
    <row r="4" spans="1:7" ht="30" customHeight="1" x14ac:dyDescent="0.35">
      <c r="A4" s="1" t="s">
        <v>153</v>
      </c>
      <c r="B4" s="1" t="s">
        <v>207</v>
      </c>
      <c r="C4" s="1" t="s">
        <v>208</v>
      </c>
      <c r="D4" s="1" t="s">
        <v>209</v>
      </c>
      <c r="E4" s="1" t="s">
        <v>157</v>
      </c>
      <c r="F4" s="1" t="s">
        <v>158</v>
      </c>
      <c r="G4" s="1" t="s">
        <v>210</v>
      </c>
    </row>
    <row r="5" spans="1:7" ht="25" customHeight="1" x14ac:dyDescent="0.35">
      <c r="A5" s="2">
        <v>1</v>
      </c>
      <c r="B5" s="2" t="s">
        <v>238</v>
      </c>
      <c r="C5" s="2" t="s">
        <v>239</v>
      </c>
      <c r="D5" s="2" t="s">
        <v>240</v>
      </c>
      <c r="E5" s="2" t="s">
        <v>199</v>
      </c>
      <c r="F5" s="5" t="s">
        <v>214</v>
      </c>
      <c r="G5" s="2"/>
    </row>
    <row r="6" spans="1:7" x14ac:dyDescent="0.35">
      <c r="A6" s="2">
        <v>2</v>
      </c>
      <c r="B6" s="2" t="s">
        <v>241</v>
      </c>
      <c r="C6" s="2" t="s">
        <v>242</v>
      </c>
      <c r="D6" s="2" t="s">
        <v>243</v>
      </c>
      <c r="E6" s="2" t="s">
        <v>199</v>
      </c>
      <c r="F6" s="5" t="s">
        <v>214</v>
      </c>
      <c r="G6" s="2"/>
    </row>
    <row r="7" spans="1:7" x14ac:dyDescent="0.35">
      <c r="A7" s="2">
        <v>3</v>
      </c>
      <c r="B7" s="2" t="s">
        <v>244</v>
      </c>
      <c r="C7" s="2" t="s">
        <v>245</v>
      </c>
      <c r="D7" s="2" t="s">
        <v>246</v>
      </c>
      <c r="E7" s="2" t="s">
        <v>199</v>
      </c>
      <c r="F7" s="5" t="s">
        <v>214</v>
      </c>
      <c r="G7" s="2"/>
    </row>
    <row r="8" spans="1:7" x14ac:dyDescent="0.35">
      <c r="A8" s="2">
        <v>4</v>
      </c>
      <c r="B8" s="2" t="s">
        <v>247</v>
      </c>
      <c r="C8" s="2" t="s">
        <v>248</v>
      </c>
      <c r="D8" s="2" t="s">
        <v>249</v>
      </c>
      <c r="E8" s="2" t="s">
        <v>199</v>
      </c>
      <c r="F8" s="5" t="s">
        <v>214</v>
      </c>
      <c r="G8" s="2"/>
    </row>
    <row r="9" spans="1:7" x14ac:dyDescent="0.35">
      <c r="A9" s="2">
        <v>5</v>
      </c>
      <c r="B9" s="2" t="s">
        <v>250</v>
      </c>
      <c r="C9" s="2" t="s">
        <v>251</v>
      </c>
      <c r="D9" s="2" t="s">
        <v>252</v>
      </c>
      <c r="E9" s="2" t="s">
        <v>199</v>
      </c>
      <c r="F9" s="5" t="s">
        <v>214</v>
      </c>
      <c r="G9" s="2"/>
    </row>
    <row r="10" spans="1:7" x14ac:dyDescent="0.35">
      <c r="A10" s="2">
        <v>6</v>
      </c>
      <c r="B10" s="2" t="s">
        <v>253</v>
      </c>
      <c r="C10" s="2" t="s">
        <v>254</v>
      </c>
      <c r="D10" s="2" t="s">
        <v>255</v>
      </c>
      <c r="E10" s="2" t="s">
        <v>199</v>
      </c>
      <c r="F10" s="5" t="s">
        <v>214</v>
      </c>
      <c r="G10" s="2"/>
    </row>
    <row r="11" spans="1:7" x14ac:dyDescent="0.35">
      <c r="A11" s="2">
        <v>7</v>
      </c>
      <c r="B11" s="2" t="s">
        <v>256</v>
      </c>
      <c r="C11" s="2" t="s">
        <v>257</v>
      </c>
      <c r="D11" s="2" t="s">
        <v>258</v>
      </c>
      <c r="E11" s="2" t="s">
        <v>259</v>
      </c>
      <c r="F11" s="5" t="s">
        <v>214</v>
      </c>
      <c r="G11" s="2"/>
    </row>
    <row r="12" spans="1:7" x14ac:dyDescent="0.35">
      <c r="A12" s="2">
        <v>8</v>
      </c>
      <c r="B12" s="2" t="s">
        <v>260</v>
      </c>
      <c r="C12" s="2" t="s">
        <v>261</v>
      </c>
      <c r="D12" s="2" t="s">
        <v>262</v>
      </c>
      <c r="E12" s="2" t="s">
        <v>263</v>
      </c>
      <c r="F12" s="5" t="s">
        <v>214</v>
      </c>
      <c r="G12" s="2"/>
    </row>
    <row r="13" spans="1:7" x14ac:dyDescent="0.35">
      <c r="A13" s="2">
        <v>9</v>
      </c>
      <c r="B13" s="2" t="s">
        <v>264</v>
      </c>
      <c r="C13" s="2" t="s">
        <v>265</v>
      </c>
      <c r="D13" s="2" t="s">
        <v>266</v>
      </c>
      <c r="E13" s="2" t="s">
        <v>199</v>
      </c>
      <c r="F13" s="5" t="s">
        <v>214</v>
      </c>
      <c r="G13" s="2"/>
    </row>
  </sheetData>
  <mergeCells count="2">
    <mergeCell ref="A2:G2"/>
    <mergeCell ref="A1:G1"/>
  </mergeCells>
  <conditionalFormatting sqref="F5:F13">
    <cfRule type="cellIs" dxfId="11" priority="1" operator="equal">
      <formula>"FAIL"</formula>
    </cfRule>
    <cfRule type="cellIs" dxfId="10" priority="2" operator="equal">
      <formula>"BLOCKED"</formula>
    </cfRule>
    <cfRule type="cellIs" dxfId="9" priority="3" operator="equal">
      <formula>"PASS"</formula>
    </cfRule>
    <cfRule type="cellIs" dxfId="8" priority="4" operator="equal">
      <formula>"DONE"</formula>
    </cfRule>
  </conditionalFormatting>
  <dataValidations count="1">
    <dataValidation type="list" sqref="F5:F13" xr:uid="{00000000-0002-0000-0600-000000000000}">
      <formula1>"NOT STARTED,IN PROGRESS,DONE,BLOCKED,N/A"</formula1>
    </dataValidation>
  </dataValidations>
  <pageMargins left="0.75" right="0.75" top="1" bottom="1" header="0.5" footer="0.5"/>
  <pageSetup fitToHeight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7" customWidth="1"/>
    <col min="2" max="2" width="28" customWidth="1"/>
    <col min="3" max="3" width="58" customWidth="1"/>
    <col min="4" max="4" width="54" customWidth="1"/>
    <col min="5" max="5" width="27" customWidth="1"/>
    <col min="6" max="6" width="16" customWidth="1"/>
    <col min="7" max="7" width="46" customWidth="1"/>
  </cols>
  <sheetData>
    <row r="1" spans="1:7" ht="28" customHeight="1" x14ac:dyDescent="0.35">
      <c r="A1" s="13" t="s">
        <v>267</v>
      </c>
      <c r="B1" s="14"/>
      <c r="C1" s="14"/>
      <c r="D1" s="14"/>
      <c r="E1" s="14"/>
      <c r="F1" s="14"/>
      <c r="G1" s="14"/>
    </row>
    <row r="2" spans="1:7" ht="34" customHeight="1" x14ac:dyDescent="0.35">
      <c r="A2" s="15" t="s">
        <v>268</v>
      </c>
      <c r="B2" s="14"/>
      <c r="C2" s="14"/>
      <c r="D2" s="14"/>
      <c r="E2" s="14"/>
      <c r="F2" s="14"/>
      <c r="G2" s="14"/>
    </row>
    <row r="4" spans="1:7" ht="30" customHeight="1" x14ac:dyDescent="0.35">
      <c r="A4" s="1" t="s">
        <v>153</v>
      </c>
      <c r="B4" s="1" t="s">
        <v>207</v>
      </c>
      <c r="C4" s="1" t="s">
        <v>208</v>
      </c>
      <c r="D4" s="1" t="s">
        <v>209</v>
      </c>
      <c r="E4" s="1" t="s">
        <v>157</v>
      </c>
      <c r="F4" s="1" t="s">
        <v>158</v>
      </c>
      <c r="G4" s="1" t="s">
        <v>210</v>
      </c>
    </row>
    <row r="5" spans="1:7" x14ac:dyDescent="0.35">
      <c r="A5" s="2">
        <v>1</v>
      </c>
      <c r="B5" s="2" t="s">
        <v>181</v>
      </c>
      <c r="C5" s="2" t="s">
        <v>269</v>
      </c>
      <c r="D5" s="2" t="s">
        <v>270</v>
      </c>
      <c r="E5" s="2" t="s">
        <v>90</v>
      </c>
      <c r="F5" s="5" t="s">
        <v>214</v>
      </c>
      <c r="G5" s="2"/>
    </row>
    <row r="6" spans="1:7" x14ac:dyDescent="0.35">
      <c r="A6" s="2">
        <v>2</v>
      </c>
      <c r="B6" s="2" t="s">
        <v>271</v>
      </c>
      <c r="C6" s="2" t="s">
        <v>272</v>
      </c>
      <c r="D6" s="2" t="s">
        <v>273</v>
      </c>
      <c r="E6" s="2" t="s">
        <v>90</v>
      </c>
      <c r="F6" s="5" t="s">
        <v>214</v>
      </c>
      <c r="G6" s="2"/>
    </row>
    <row r="7" spans="1:7" x14ac:dyDescent="0.35">
      <c r="A7" s="2">
        <v>3</v>
      </c>
      <c r="B7" s="2" t="s">
        <v>122</v>
      </c>
      <c r="C7" s="2" t="s">
        <v>274</v>
      </c>
      <c r="D7" s="2" t="s">
        <v>275</v>
      </c>
      <c r="E7" s="2" t="s">
        <v>90</v>
      </c>
      <c r="F7" s="5" t="s">
        <v>214</v>
      </c>
      <c r="G7" s="2"/>
    </row>
    <row r="8" spans="1:7" x14ac:dyDescent="0.35">
      <c r="A8" s="2">
        <v>4</v>
      </c>
      <c r="B8" s="2" t="s">
        <v>124</v>
      </c>
      <c r="C8" s="2" t="s">
        <v>276</v>
      </c>
      <c r="D8" s="2" t="s">
        <v>277</v>
      </c>
      <c r="E8" s="2" t="s">
        <v>90</v>
      </c>
      <c r="F8" s="5" t="s">
        <v>214</v>
      </c>
      <c r="G8" s="2"/>
    </row>
    <row r="9" spans="1:7" x14ac:dyDescent="0.35">
      <c r="A9" s="2">
        <v>5</v>
      </c>
      <c r="B9" s="2" t="s">
        <v>278</v>
      </c>
      <c r="C9" s="2" t="s">
        <v>279</v>
      </c>
      <c r="D9" s="2" t="s">
        <v>280</v>
      </c>
      <c r="E9" s="2" t="s">
        <v>202</v>
      </c>
      <c r="F9" s="5" t="s">
        <v>214</v>
      </c>
      <c r="G9" s="2"/>
    </row>
    <row r="10" spans="1:7" x14ac:dyDescent="0.35">
      <c r="A10" s="2">
        <v>6</v>
      </c>
      <c r="B10" s="2" t="s">
        <v>126</v>
      </c>
      <c r="C10" s="2" t="s">
        <v>281</v>
      </c>
      <c r="D10" s="2" t="s">
        <v>282</v>
      </c>
      <c r="E10" s="2" t="s">
        <v>90</v>
      </c>
      <c r="F10" s="5" t="s">
        <v>214</v>
      </c>
      <c r="G10" s="2"/>
    </row>
    <row r="11" spans="1:7" x14ac:dyDescent="0.35">
      <c r="A11" s="2">
        <v>7</v>
      </c>
      <c r="B11" s="2" t="s">
        <v>283</v>
      </c>
      <c r="C11" s="2" t="s">
        <v>284</v>
      </c>
      <c r="D11" s="2" t="s">
        <v>285</v>
      </c>
      <c r="E11" s="2" t="s">
        <v>90</v>
      </c>
      <c r="F11" s="5" t="s">
        <v>214</v>
      </c>
      <c r="G11" s="2"/>
    </row>
    <row r="12" spans="1:7" x14ac:dyDescent="0.35">
      <c r="A12" s="2">
        <v>8</v>
      </c>
      <c r="B12" s="2" t="s">
        <v>286</v>
      </c>
      <c r="C12" s="2" t="s">
        <v>287</v>
      </c>
      <c r="D12" s="2" t="s">
        <v>288</v>
      </c>
      <c r="E12" s="2" t="s">
        <v>90</v>
      </c>
      <c r="F12" s="5" t="s">
        <v>214</v>
      </c>
      <c r="G12" s="2"/>
    </row>
    <row r="13" spans="1:7" x14ac:dyDescent="0.35">
      <c r="A13" s="2">
        <v>9</v>
      </c>
      <c r="B13" s="2" t="s">
        <v>289</v>
      </c>
      <c r="C13" s="2" t="s">
        <v>290</v>
      </c>
      <c r="D13" s="2" t="s">
        <v>291</v>
      </c>
      <c r="E13" s="2" t="s">
        <v>90</v>
      </c>
      <c r="F13" s="5" t="s">
        <v>214</v>
      </c>
      <c r="G13" s="2"/>
    </row>
  </sheetData>
  <mergeCells count="2">
    <mergeCell ref="A2:G2"/>
    <mergeCell ref="A1:G1"/>
  </mergeCells>
  <conditionalFormatting sqref="F5:F13">
    <cfRule type="cellIs" dxfId="7" priority="1" operator="equal">
      <formula>"FAIL"</formula>
    </cfRule>
    <cfRule type="cellIs" dxfId="6" priority="2" operator="equal">
      <formula>"BLOCKED"</formula>
    </cfRule>
    <cfRule type="cellIs" dxfId="5" priority="3" operator="equal">
      <formula>"PASS"</formula>
    </cfRule>
    <cfRule type="cellIs" dxfId="4" priority="4" operator="equal">
      <formula>"DONE"</formula>
    </cfRule>
  </conditionalFormatting>
  <dataValidations count="1">
    <dataValidation type="list" sqref="F5:F13" xr:uid="{00000000-0002-0000-0700-000000000000}">
      <formula1>"NOT STARTED,IN PROGRESS,DONE,BLOCKED,N/A"</formula1>
    </dataValidation>
  </dataValidations>
  <pageMargins left="0.75" right="0.75" top="1" bottom="1" header="0.5" footer="0.5"/>
  <pageSetup fitToHeight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7" customWidth="1"/>
    <col min="2" max="2" width="28" customWidth="1"/>
    <col min="3" max="3" width="58" customWidth="1"/>
    <col min="4" max="4" width="54" customWidth="1"/>
    <col min="5" max="5" width="27" customWidth="1"/>
    <col min="6" max="6" width="16" customWidth="1"/>
    <col min="7" max="7" width="46" customWidth="1"/>
  </cols>
  <sheetData>
    <row r="1" spans="1:7" ht="28" customHeight="1" x14ac:dyDescent="0.35">
      <c r="A1" s="13" t="s">
        <v>292</v>
      </c>
      <c r="B1" s="14"/>
      <c r="C1" s="14"/>
      <c r="D1" s="14"/>
      <c r="E1" s="14"/>
      <c r="F1" s="14"/>
      <c r="G1" s="14"/>
    </row>
    <row r="2" spans="1:7" ht="34" customHeight="1" x14ac:dyDescent="0.35">
      <c r="A2" s="15" t="s">
        <v>293</v>
      </c>
      <c r="B2" s="14"/>
      <c r="C2" s="14"/>
      <c r="D2" s="14"/>
      <c r="E2" s="14"/>
      <c r="F2" s="14"/>
      <c r="G2" s="14"/>
    </row>
    <row r="4" spans="1:7" ht="30" customHeight="1" x14ac:dyDescent="0.35">
      <c r="A4" s="1" t="s">
        <v>153</v>
      </c>
      <c r="B4" s="1" t="s">
        <v>207</v>
      </c>
      <c r="C4" s="1" t="s">
        <v>208</v>
      </c>
      <c r="D4" s="1" t="s">
        <v>209</v>
      </c>
      <c r="E4" s="1" t="s">
        <v>157</v>
      </c>
      <c r="F4" s="1" t="s">
        <v>158</v>
      </c>
      <c r="G4" s="1" t="s">
        <v>210</v>
      </c>
    </row>
    <row r="5" spans="1:7" x14ac:dyDescent="0.35">
      <c r="A5" s="2">
        <v>1</v>
      </c>
      <c r="B5" s="2" t="s">
        <v>294</v>
      </c>
      <c r="C5" s="2" t="s">
        <v>295</v>
      </c>
      <c r="D5" s="2" t="s">
        <v>296</v>
      </c>
      <c r="E5" s="2" t="s">
        <v>199</v>
      </c>
      <c r="F5" s="5" t="s">
        <v>214</v>
      </c>
      <c r="G5" s="2"/>
    </row>
    <row r="6" spans="1:7" x14ac:dyDescent="0.35">
      <c r="A6" s="2">
        <v>2</v>
      </c>
      <c r="B6" s="2" t="s">
        <v>297</v>
      </c>
      <c r="C6" s="2" t="s">
        <v>298</v>
      </c>
      <c r="D6" s="2" t="s">
        <v>296</v>
      </c>
      <c r="E6" s="2" t="s">
        <v>263</v>
      </c>
      <c r="F6" s="5" t="s">
        <v>214</v>
      </c>
      <c r="G6" s="2"/>
    </row>
    <row r="7" spans="1:7" x14ac:dyDescent="0.35">
      <c r="A7" s="2">
        <v>3</v>
      </c>
      <c r="B7" s="2" t="s">
        <v>299</v>
      </c>
      <c r="C7" s="2" t="s">
        <v>300</v>
      </c>
      <c r="D7" s="2" t="s">
        <v>296</v>
      </c>
      <c r="E7" s="2" t="s">
        <v>259</v>
      </c>
      <c r="F7" s="5" t="s">
        <v>214</v>
      </c>
      <c r="G7" s="2"/>
    </row>
    <row r="8" spans="1:7" x14ac:dyDescent="0.35">
      <c r="A8" s="2">
        <v>4</v>
      </c>
      <c r="B8" s="2" t="s">
        <v>301</v>
      </c>
      <c r="C8" s="2" t="s">
        <v>302</v>
      </c>
      <c r="D8" s="2" t="s">
        <v>296</v>
      </c>
      <c r="E8" s="2" t="s">
        <v>90</v>
      </c>
      <c r="F8" s="5" t="s">
        <v>214</v>
      </c>
      <c r="G8" s="2"/>
    </row>
    <row r="9" spans="1:7" x14ac:dyDescent="0.35">
      <c r="A9" s="2">
        <v>5</v>
      </c>
      <c r="B9" s="2" t="s">
        <v>303</v>
      </c>
      <c r="C9" s="2" t="s">
        <v>304</v>
      </c>
      <c r="D9" s="2" t="s">
        <v>296</v>
      </c>
      <c r="E9" s="2" t="s">
        <v>90</v>
      </c>
      <c r="F9" s="5" t="s">
        <v>214</v>
      </c>
      <c r="G9" s="2"/>
    </row>
    <row r="10" spans="1:7" x14ac:dyDescent="0.35">
      <c r="A10" s="2">
        <v>6</v>
      </c>
      <c r="B10" s="2" t="s">
        <v>305</v>
      </c>
      <c r="C10" s="2" t="s">
        <v>306</v>
      </c>
      <c r="D10" s="2" t="s">
        <v>307</v>
      </c>
      <c r="E10" s="2" t="s">
        <v>235</v>
      </c>
      <c r="F10" s="5" t="s">
        <v>214</v>
      </c>
      <c r="G10" s="2"/>
    </row>
    <row r="11" spans="1:7" x14ac:dyDescent="0.35">
      <c r="A11" s="2">
        <v>7</v>
      </c>
      <c r="B11" s="2" t="s">
        <v>308</v>
      </c>
      <c r="C11" s="2" t="s">
        <v>309</v>
      </c>
      <c r="D11" s="2" t="s">
        <v>310</v>
      </c>
      <c r="E11" s="2" t="s">
        <v>90</v>
      </c>
      <c r="F11" s="5" t="s">
        <v>214</v>
      </c>
      <c r="G11" s="2"/>
    </row>
    <row r="12" spans="1:7" x14ac:dyDescent="0.35">
      <c r="A12" s="2">
        <v>8</v>
      </c>
      <c r="B12" s="2" t="s">
        <v>311</v>
      </c>
      <c r="C12" s="2" t="s">
        <v>312</v>
      </c>
      <c r="D12" s="2" t="s">
        <v>313</v>
      </c>
      <c r="E12" s="2" t="s">
        <v>90</v>
      </c>
      <c r="F12" s="5" t="s">
        <v>214</v>
      </c>
      <c r="G12" s="2"/>
    </row>
    <row r="13" spans="1:7" x14ac:dyDescent="0.35">
      <c r="A13" s="2">
        <v>9</v>
      </c>
      <c r="B13" s="2" t="s">
        <v>314</v>
      </c>
      <c r="C13" s="2" t="s">
        <v>315</v>
      </c>
      <c r="D13" s="2" t="s">
        <v>316</v>
      </c>
      <c r="E13" s="2" t="s">
        <v>90</v>
      </c>
      <c r="F13" s="5" t="s">
        <v>214</v>
      </c>
      <c r="G13" s="2"/>
    </row>
    <row r="14" spans="1:7" x14ac:dyDescent="0.35">
      <c r="A14" s="2">
        <v>10</v>
      </c>
      <c r="B14" s="2" t="s">
        <v>317</v>
      </c>
      <c r="C14" s="2" t="s">
        <v>318</v>
      </c>
      <c r="D14" s="2" t="s">
        <v>319</v>
      </c>
      <c r="E14" s="2" t="s">
        <v>202</v>
      </c>
      <c r="F14" s="5" t="s">
        <v>214</v>
      </c>
      <c r="G14" s="2"/>
    </row>
  </sheetData>
  <mergeCells count="2">
    <mergeCell ref="A2:G2"/>
    <mergeCell ref="A1:G1"/>
  </mergeCells>
  <conditionalFormatting sqref="F5:F14">
    <cfRule type="cellIs" dxfId="3" priority="1" operator="equal">
      <formula>"FAIL"</formula>
    </cfRule>
    <cfRule type="cellIs" dxfId="2" priority="2" operator="equal">
      <formula>"BLOCKED"</formula>
    </cfRule>
    <cfRule type="cellIs" dxfId="1" priority="3" operator="equal">
      <formula>"PASS"</formula>
    </cfRule>
    <cfRule type="cellIs" dxfId="0" priority="4" operator="equal">
      <formula>"DONE"</formula>
    </cfRule>
  </conditionalFormatting>
  <dataValidations count="1">
    <dataValidation type="list" sqref="F5:F14" xr:uid="{00000000-0002-0000-0800-000000000000}">
      <formula1>"NOT STARTED,IN PROGRESS,DONE,BLOCKED,N/A"</formula1>
    </dataValidation>
  </dataValidations>
  <pageMargins left="0.75" right="0.75" top="1" bottom="1" header="0.5" footer="0.5"/>
  <pageSetup fitToHeight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1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7" customWidth="1"/>
    <col min="2" max="2" width="30" customWidth="1"/>
    <col min="3" max="3" width="105" customWidth="1"/>
    <col min="4" max="4" width="44" customWidth="1"/>
  </cols>
  <sheetData>
    <row r="1" spans="1:4" ht="28" customHeight="1" x14ac:dyDescent="0.35">
      <c r="A1" s="13" t="s">
        <v>320</v>
      </c>
      <c r="B1" s="14"/>
      <c r="C1" s="14"/>
      <c r="D1" s="14"/>
    </row>
    <row r="2" spans="1:4" ht="34" customHeight="1" x14ac:dyDescent="0.35">
      <c r="A2" s="15" t="s">
        <v>321</v>
      </c>
      <c r="B2" s="14"/>
      <c r="C2" s="14"/>
      <c r="D2" s="14"/>
    </row>
    <row r="4" spans="1:4" ht="30" customHeight="1" x14ac:dyDescent="0.35">
      <c r="A4" s="1" t="s">
        <v>153</v>
      </c>
      <c r="B4" s="1" t="s">
        <v>3</v>
      </c>
      <c r="C4" s="1" t="s">
        <v>322</v>
      </c>
      <c r="D4" s="1" t="s">
        <v>323</v>
      </c>
    </row>
    <row r="5" spans="1:4" ht="48" customHeight="1" x14ac:dyDescent="0.35">
      <c r="A5" s="2">
        <v>1</v>
      </c>
      <c r="B5" s="2" t="s">
        <v>163</v>
      </c>
      <c r="C5" s="11" t="str">
        <f>"az account show --query "&amp;CHAR(34)&amp;"{subscription:id,tenant:tenantId,user:user.name}"&amp;CHAR(34)&amp;" -o json"&amp;CHAR(10)&amp;"az account set --subscription "&amp;CHAR(34)&amp;Inputs!B6&amp;CHAR(34)</f>
        <v>az account show --query "{subscription:id,tenant:tenantId,user:user.name}" -o json
az account set --subscription "&lt;subscription-id&gt;"</v>
      </c>
      <c r="D5" s="2" t="s">
        <v>324</v>
      </c>
    </row>
    <row r="6" spans="1:4" ht="48" customHeight="1" x14ac:dyDescent="0.35">
      <c r="A6" s="2">
        <v>2</v>
      </c>
      <c r="B6" s="2" t="s">
        <v>325</v>
      </c>
      <c r="C6" s="11" t="str">
        <f>"az apim nv show -g "&amp;CHAR(34)&amp;Inputs!B8&amp;CHAR(34)&amp;" --service-name "&amp;CHAR(34)&amp;Inputs!B9&amp;CHAR(34)&amp;" --named-value-id entitlement-source --query value -o tsv"</f>
        <v>az apim nv show -g "&lt;resource-group&gt;" --service-name "&lt;apim-name&gt;" --named-value-id entitlement-source --query value -o tsv</v>
      </c>
      <c r="D6" s="2" t="s">
        <v>167</v>
      </c>
    </row>
    <row r="7" spans="1:4" ht="48" customHeight="1" x14ac:dyDescent="0.35">
      <c r="A7" s="2">
        <v>3</v>
      </c>
      <c r="B7" s="2" t="s">
        <v>326</v>
      </c>
      <c r="C7" s="11" t="str">
        <f>"pwsh -NoProfile -File .\scripts\New-ClaudeDesktopEntraApp.ps1 -DisplayName "&amp;CHAR(34)&amp;Inputs!B17&amp;CHAR(34)&amp;" -WhatIf"</f>
        <v>pwsh -NoProfile -File .\scripts\New-ClaudeDesktopEntraApp.ps1 -DisplayName "Claude Desktop gateway" -WhatIf</v>
      </c>
      <c r="D7" s="2" t="s">
        <v>327</v>
      </c>
    </row>
    <row r="8" spans="1:4" ht="48" customHeight="1" x14ac:dyDescent="0.35">
      <c r="A8" s="2">
        <v>4</v>
      </c>
      <c r="B8" s="2" t="s">
        <v>211</v>
      </c>
      <c r="C8" s="11" t="str">
        <f>"pwsh -NoProfile -File .\scripts\New-ClaudeDesktopEntraApp.ps1 -DisplayName "&amp;CHAR(34)&amp;Inputs!B17&amp;CHAR(34)</f>
        <v>pwsh -NoProfile -File .\scripts\New-ClaudeDesktopEntraApp.ps1 -DisplayName "Claude Desktop gateway"</v>
      </c>
      <c r="D8" s="2" t="s">
        <v>328</v>
      </c>
    </row>
    <row r="9" spans="1:4" ht="48" customHeight="1" x14ac:dyDescent="0.35">
      <c r="A9" s="2">
        <v>5</v>
      </c>
      <c r="B9" s="2" t="s">
        <v>329</v>
      </c>
      <c r="C9" s="11" t="str">
        <f>". .\scripts\ApimNamedValue.ps1"&amp;CHAR(10)&amp;"Set-ApimNamedValue -ResourceGroup "&amp;CHAR(34)&amp;Inputs!B8&amp;CHAR(34)&amp;" -ApimName "&amp;CHAR(34)&amp;Inputs!B9&amp;CHAR(34)&amp;" -Id external-idp-extra-audience -Value "&amp;CHAR(34)&amp;Inputs!B18&amp;CHAR(34)</f>
        <v>. .\scripts\ApimNamedValue.ps1
Set-ApimNamedValue -ResourceGroup "&lt;resource-group&gt;" -ApimName "&lt;apim-name&gt;" -Id external-idp-extra-audience -Value "&lt;desktop-public-client-id&gt;"</v>
      </c>
      <c r="D9" s="2" t="s">
        <v>330</v>
      </c>
    </row>
    <row r="10" spans="1:4" ht="48" customHeight="1" x14ac:dyDescent="0.35">
      <c r="A10" s="2">
        <v>6</v>
      </c>
      <c r="B10" s="2" t="s">
        <v>227</v>
      </c>
      <c r="C10" s="11" t="str">
        <f>"pwsh -NoProfile -File .\scripts\New-ClaudeCodePolicy.ps1 -ConfigPath .\onboarding\claude-gateway.json -Tier standard -OutputPath .\policy-claude-code-standard"</f>
        <v>pwsh -NoProfile -File .\scripts\New-ClaudeCodePolicy.ps1 -ConfigPath .\onboarding\claude-gateway.json -Tier standard -OutputPath .\policy-claude-code-standard</v>
      </c>
      <c r="D10" s="2" t="s">
        <v>331</v>
      </c>
    </row>
    <row r="11" spans="1:4" ht="48" customHeight="1" x14ac:dyDescent="0.35">
      <c r="A11" s="2">
        <v>7</v>
      </c>
      <c r="B11" s="2" t="s">
        <v>230</v>
      </c>
      <c r="C11" s="11" t="str">
        <f>"pwsh -NoProfile -File .\scripts\New-ClaudeCodePolicy.ps1 -ConfigPath .\onboarding\claude-gateway.json -Tier premium -OutputPath .\policy-claude-code-premium"</f>
        <v>pwsh -NoProfile -File .\scripts\New-ClaudeCodePolicy.ps1 -ConfigPath .\onboarding\claude-gateway.json -Tier premium -OutputPath .\policy-claude-code-premium</v>
      </c>
      <c r="D11" s="2" t="s">
        <v>331</v>
      </c>
    </row>
    <row r="12" spans="1:4" ht="48" customHeight="1" x14ac:dyDescent="0.35">
      <c r="A12" s="2">
        <v>8</v>
      </c>
      <c r="B12" s="2" t="s">
        <v>332</v>
      </c>
      <c r="C12" s="11" t="str">
        <f>"-SubscriptionId "&amp;CHAR(34)&amp;Inputs!B6&amp;CHAR(34)&amp;" -ResourceGroup "&amp;CHAR(34)&amp;Inputs!B8&amp;CHAR(34)&amp;" -ApimName "&amp;CHAR(34)&amp;Inputs!B9&amp;CHAR(34)&amp;" -NamePrefix "&amp;CHAR(34)&amp;Inputs!B10&amp;CHAR(34)&amp;" -Location "&amp;CHAR(34)&amp;Inputs!B11&amp;CHAR(34)&amp;" -Sku "&amp;CHAR(34)&amp;Inputs!B12&amp;CHAR(34)&amp;" -ResolverInboundAccess "&amp;CHAR(34)&amp;Inputs!B13&amp;CHAR(34)&amp;" -ResolverAppId "&amp;CHAR(34)&amp;Inputs!B14&amp;CHAR(34)&amp;" -StandardGroup "&amp;CHAR(34)&amp;Inputs!B15&amp;CHAR(34)&amp;" -PremiumGroup "&amp;CHAR(34)&amp;Inputs!B16&amp;CHAR(34)</f>
        <v>-SubscriptionId "&lt;subscription-id&gt;" -ResourceGroup "&lt;resource-group&gt;" -ApimName "&lt;apim-name&gt;" -NamePrefix "&lt;lowercase-prefix&gt;" -Location "eastus" -Sku "StandardV2" -ResolverInboundAccess "private" -ResolverAppId "&lt;resolver-app-id&gt;" -StandardGroup "claude-code-standard" -PremiumGroup "claude-code-premium"</v>
      </c>
      <c r="D12" s="2" t="s">
        <v>333</v>
      </c>
    </row>
    <row r="13" spans="1:4" ht="48" customHeight="1" x14ac:dyDescent="0.35">
      <c r="A13" s="2">
        <v>9</v>
      </c>
      <c r="B13" s="2" t="s">
        <v>181</v>
      </c>
      <c r="C13" s="11" t="str">
        <f>"pwsh -NoProfile -File .\scripts\Deploy-ClaudeProjection.ps1 "&amp;C12&amp;" -PreflightOnly"</f>
        <v>pwsh -NoProfile -File .\scripts\Deploy-ClaudeProjection.ps1 -SubscriptionId "&lt;subscription-id&gt;" -ResourceGroup "&lt;resource-group&gt;" -ApimName "&lt;apim-name&gt;" -NamePrefix "&lt;lowercase-prefix&gt;" -Location "eastus" -Sku "StandardV2" -ResolverInboundAccess "private" -ResolverAppId "&lt;resolver-app-id&gt;" -StandardGroup "claude-code-standard" -PremiumGroup "claude-code-premium" -PreflightOnly</v>
      </c>
      <c r="D13" s="2" t="s">
        <v>334</v>
      </c>
    </row>
    <row r="14" spans="1:4" ht="48" customHeight="1" x14ac:dyDescent="0.35">
      <c r="A14" s="2">
        <v>10</v>
      </c>
      <c r="B14" s="2" t="s">
        <v>271</v>
      </c>
      <c r="C14" s="11" t="str">
        <f>"pwsh -NoProfile -File .\scripts\Deploy-ClaudeProjection.ps1 "&amp;C12</f>
        <v>pwsh -NoProfile -File .\scripts\Deploy-ClaudeProjection.ps1 -SubscriptionId "&lt;subscription-id&gt;" -ResourceGroup "&lt;resource-group&gt;" -ApimName "&lt;apim-name&gt;" -NamePrefix "&lt;lowercase-prefix&gt;" -Location "eastus" -Sku "StandardV2" -ResolverInboundAccess "private" -ResolverAppId "&lt;resolver-app-id&gt;" -StandardGroup "claude-code-standard" -PremiumGroup "claude-code-premium"</v>
      </c>
      <c r="D14" s="2" t="s">
        <v>335</v>
      </c>
    </row>
    <row r="15" spans="1:4" ht="48" customHeight="1" x14ac:dyDescent="0.35">
      <c r="A15" s="2">
        <v>11</v>
      </c>
      <c r="B15" s="2" t="s">
        <v>336</v>
      </c>
      <c r="C15" s="11" t="str">
        <f>"pwsh -NoProfile -File .\scripts\Sync-ClaudeAccess.ps1 -ResourceGroup "&amp;CHAR(34)&amp;Inputs!B8&amp;CHAR(34)&amp;" -ApimName "&amp;CHAR(34)&amp;Inputs!B9&amp;CHAR(34)</f>
        <v>pwsh -NoProfile -File .\scripts\Sync-ClaudeAccess.ps1 -ResourceGroup "&lt;resource-group&gt;" -ApimName "&lt;apim-name&gt;"</v>
      </c>
      <c r="D15" s="2" t="s">
        <v>337</v>
      </c>
    </row>
    <row r="16" spans="1:4" ht="48" customHeight="1" x14ac:dyDescent="0.35">
      <c r="A16" s="2">
        <v>12</v>
      </c>
      <c r="B16" s="2" t="s">
        <v>124</v>
      </c>
      <c r="C16" s="11" t="str">
        <f>"pwsh -NoProfile -File .\scripts\Deploy-ClaudeProjection.ps1 -SubscriptionId "&amp;CHAR(34)&amp;Inputs!B6&amp;CHAR(34)&amp;" -ResourceGroup "&amp;CHAR(34)&amp;Inputs!B8&amp;CHAR(34)&amp;" -ApimName "&amp;CHAR(34)&amp;Inputs!B9&amp;CHAR(34)&amp;" -NamePrefix "&amp;CHAR(34)&amp;Inputs!B10&amp;CHAR(34)&amp;" -StandardGroup "&amp;CHAR(34)&amp;Inputs!B15&amp;CHAR(34)&amp;" -PremiumGroup "&amp;CHAR(34)&amp;Inputs!B16&amp;CHAR(34)&amp;" -FlipAfterCleanCompare -WhatIf"</f>
        <v>pwsh -NoProfile -File .\scripts\Deploy-ClaudeProjection.ps1 -SubscriptionId "&lt;subscription-id&gt;" -ResourceGroup "&lt;resource-group&gt;" -ApimName "&lt;apim-name&gt;" -NamePrefix "&lt;lowercase-prefix&gt;" -StandardGroup "claude-code-standard" -PremiumGroup "claude-code-premium" -FlipAfterCleanCompare -WhatIf</v>
      </c>
      <c r="D16" s="2" t="s">
        <v>338</v>
      </c>
    </row>
    <row r="17" spans="1:4" ht="48" customHeight="1" x14ac:dyDescent="0.35">
      <c r="A17" s="2">
        <v>13</v>
      </c>
      <c r="B17" s="2" t="s">
        <v>126</v>
      </c>
      <c r="C17" s="11" t="str">
        <f>SUBSTITUTE(C16," -WhatIf","")</f>
        <v>pwsh -NoProfile -File .\scripts\Deploy-ClaudeProjection.ps1 -SubscriptionId "&lt;subscription-id&gt;" -ResourceGroup "&lt;resource-group&gt;" -ApimName "&lt;apim-name&gt;" -NamePrefix "&lt;lowercase-prefix&gt;" -StandardGroup "claude-code-standard" -PremiumGroup "claude-code-premium" -FlipAfterCleanCompare</v>
      </c>
      <c r="D17" s="2" t="s">
        <v>339</v>
      </c>
    </row>
    <row r="18" spans="1:4" ht="48" customHeight="1" x14ac:dyDescent="0.35">
      <c r="A18" s="2">
        <v>14</v>
      </c>
      <c r="B18" s="2" t="s">
        <v>340</v>
      </c>
      <c r="C18" s="11" t="str">
        <f>"az apim nv show -g "&amp;CHAR(34)&amp;Inputs!B8&amp;CHAR(34)&amp;" --service-name "&amp;CHAR(34)&amp;Inputs!B9&amp;CHAR(34)&amp;" --named-value-id entitlement-source --query value -o tsv"</f>
        <v>az apim nv show -g "&lt;resource-group&gt;" --service-name "&lt;apim-name&gt;" --named-value-id entitlement-source --query value -o tsv</v>
      </c>
      <c r="D18" s="2" t="s">
        <v>341</v>
      </c>
    </row>
    <row r="19" spans="1:4" ht="48" customHeight="1" x14ac:dyDescent="0.35">
      <c r="A19" s="2">
        <v>15</v>
      </c>
      <c r="B19" s="2" t="s">
        <v>342</v>
      </c>
      <c r="C19" s="11" t="str">
        <f>"pwsh -NoProfile -File .\scripts\Sync-ClaudeAccess.ps1 -ResourceGroup "&amp;CHAR(34)&amp;Inputs!B8&amp;CHAR(34)&amp;" -ApimName "&amp;CHAR(34)&amp;Inputs!B9&amp;CHAR(34)&amp;" -User "&amp;CHAR(34)&amp;"&lt;upn-or-object-id&gt;"&amp;CHAR(34)</f>
        <v>pwsh -NoProfile -File .\scripts\Sync-ClaudeAccess.ps1 -ResourceGroup "&lt;resource-group&gt;" -ApimName "&lt;apim-name&gt;" -User "&lt;upn-or-object-id&gt;"</v>
      </c>
      <c r="D19" s="2" t="s">
        <v>343</v>
      </c>
    </row>
    <row r="20" spans="1:4" ht="48" customHeight="1" x14ac:dyDescent="0.35">
      <c r="A20" s="2">
        <v>16</v>
      </c>
      <c r="B20" s="2" t="s">
        <v>344</v>
      </c>
      <c r="C20" s="11" t="str">
        <f>"pwsh -NoProfile -File .\scripts\Sync-ClaudeAccess.ps1 -ResourceGroup "&amp;CHAR(34)&amp;Inputs!B8&amp;CHAR(34)&amp;" -ApimName "&amp;CHAR(34)&amp;Inputs!B9&amp;CHAR(34)&amp;" -Store named-value"</f>
        <v>pwsh -NoProfile -File .\scripts\Sync-ClaudeAccess.ps1 -ResourceGroup "&lt;resource-group&gt;" -ApimName "&lt;apim-name&gt;" -Store named-value</v>
      </c>
      <c r="D20" s="2" t="s">
        <v>310</v>
      </c>
    </row>
    <row r="21" spans="1:4" ht="48" customHeight="1" x14ac:dyDescent="0.35">
      <c r="A21" s="2">
        <v>17</v>
      </c>
      <c r="B21" s="2" t="s">
        <v>345</v>
      </c>
      <c r="C21" s="11" t="str">
        <f>"pwsh -NoProfile -File .\scripts\Compare-ClaudeEntitlement.ps1 -ResourceGroup "&amp;CHAR(34)&amp;Inputs!B8&amp;CHAR(34)&amp;" -ApimName "&amp;CHAR(34)&amp;Inputs!B9&amp;CHAR(34)&amp;" -FailOnDrift"</f>
        <v>pwsh -NoProfile -File .\scripts\Compare-ClaudeEntitlement.ps1 -ResourceGroup "&lt;resource-group&gt;" -ApimName "&lt;apim-name&gt;" -FailOnDrift</v>
      </c>
      <c r="D21" s="2" t="s">
        <v>313</v>
      </c>
    </row>
  </sheetData>
  <mergeCells count="2">
    <mergeCell ref="A1:D1"/>
    <mergeCell ref="A2:D2"/>
  </mergeCells>
  <pageMargins left="0.75" right="0.75" top="1" bottom="1" header="0.5" footer="0.5"/>
  <pageSetup fitToHeight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1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29" customWidth="1"/>
    <col min="2" max="2" width="112" customWidth="1"/>
  </cols>
  <sheetData>
    <row r="1" spans="1:2" ht="28" customHeight="1" x14ac:dyDescent="0.35">
      <c r="A1" s="13" t="s">
        <v>346</v>
      </c>
      <c r="B1" s="14"/>
    </row>
    <row r="2" spans="1:2" ht="34" customHeight="1" x14ac:dyDescent="0.35">
      <c r="A2" s="15" t="s">
        <v>347</v>
      </c>
      <c r="B2" s="14"/>
    </row>
    <row r="4" spans="1:2" ht="30" customHeight="1" x14ac:dyDescent="0.35">
      <c r="A4" s="1" t="s">
        <v>348</v>
      </c>
      <c r="B4" s="1" t="s">
        <v>349</v>
      </c>
    </row>
    <row r="5" spans="1:2" ht="45" customHeight="1" x14ac:dyDescent="0.35">
      <c r="A5" s="2" t="s">
        <v>350</v>
      </c>
      <c r="B5" s="11" t="s">
        <v>351</v>
      </c>
    </row>
    <row r="6" spans="1:2" ht="105" customHeight="1" x14ac:dyDescent="0.35">
      <c r="A6" s="2" t="s">
        <v>352</v>
      </c>
      <c r="B6" s="11" t="s">
        <v>353</v>
      </c>
    </row>
    <row r="7" spans="1:2" ht="120" customHeight="1" x14ac:dyDescent="0.35">
      <c r="A7" s="2" t="s">
        <v>354</v>
      </c>
      <c r="B7" s="11" t="s">
        <v>355</v>
      </c>
    </row>
    <row r="8" spans="1:2" ht="90" customHeight="1" x14ac:dyDescent="0.35">
      <c r="A8" s="2" t="s">
        <v>356</v>
      </c>
      <c r="B8" s="11" t="s">
        <v>357</v>
      </c>
    </row>
    <row r="9" spans="1:2" ht="60" customHeight="1" x14ac:dyDescent="0.35">
      <c r="A9" s="2" t="s">
        <v>358</v>
      </c>
      <c r="B9" s="11" t="s">
        <v>359</v>
      </c>
    </row>
    <row r="10" spans="1:2" ht="45" customHeight="1" x14ac:dyDescent="0.35">
      <c r="A10" s="2" t="s">
        <v>360</v>
      </c>
      <c r="B10" s="11" t="s">
        <v>361</v>
      </c>
    </row>
    <row r="11" spans="1:2" ht="45" customHeight="1" x14ac:dyDescent="0.35">
      <c r="A11" s="2" t="s">
        <v>362</v>
      </c>
      <c r="B11" s="11" t="s">
        <v>363</v>
      </c>
    </row>
  </sheetData>
  <mergeCells count="2">
    <mergeCell ref="A2:B2"/>
    <mergeCell ref="A1:B1"/>
  </mergeCells>
  <pageMargins left="0.75" right="0.75" top="1" bottom="1" header="0.5" footer="0.5"/>
  <pageSetup fitToHeight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5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4" customWidth="1"/>
    <col min="2" max="2" width="82" customWidth="1"/>
    <col min="3" max="3" width="76" customWidth="1"/>
  </cols>
  <sheetData>
    <row r="1" spans="1:3" ht="28" customHeight="1" x14ac:dyDescent="0.35">
      <c r="A1" s="13" t="s">
        <v>364</v>
      </c>
      <c r="B1" s="14"/>
      <c r="C1" s="14"/>
    </row>
    <row r="2" spans="1:3" ht="34" customHeight="1" x14ac:dyDescent="0.35">
      <c r="A2" s="15" t="s">
        <v>365</v>
      </c>
      <c r="B2" s="14"/>
      <c r="C2" s="14"/>
    </row>
    <row r="4" spans="1:3" ht="30" customHeight="1" x14ac:dyDescent="0.35">
      <c r="A4" s="1" t="s">
        <v>366</v>
      </c>
      <c r="B4" s="1" t="s">
        <v>367</v>
      </c>
      <c r="C4" s="1" t="s">
        <v>368</v>
      </c>
    </row>
    <row r="5" spans="1:3" ht="15.5" customHeight="1" x14ac:dyDescent="0.35">
      <c r="A5" s="2" t="s">
        <v>369</v>
      </c>
      <c r="B5" s="2" t="s">
        <v>370</v>
      </c>
      <c r="C5" s="12" t="s">
        <v>371</v>
      </c>
    </row>
    <row r="6" spans="1:3" ht="15.5" customHeight="1" x14ac:dyDescent="0.35">
      <c r="A6" s="2" t="s">
        <v>372</v>
      </c>
      <c r="B6" s="2" t="s">
        <v>373</v>
      </c>
      <c r="C6" s="12" t="s">
        <v>374</v>
      </c>
    </row>
    <row r="7" spans="1:3" ht="15.5" customHeight="1" x14ac:dyDescent="0.35">
      <c r="A7" s="2" t="s">
        <v>375</v>
      </c>
      <c r="B7" s="2" t="s">
        <v>376</v>
      </c>
      <c r="C7" s="12" t="s">
        <v>377</v>
      </c>
    </row>
    <row r="8" spans="1:3" ht="15.5" customHeight="1" x14ac:dyDescent="0.35">
      <c r="A8" s="2" t="s">
        <v>378</v>
      </c>
      <c r="B8" s="2" t="s">
        <v>379</v>
      </c>
      <c r="C8" s="12" t="s">
        <v>380</v>
      </c>
    </row>
    <row r="9" spans="1:3" ht="15.5" customHeight="1" x14ac:dyDescent="0.35">
      <c r="A9" s="2" t="s">
        <v>381</v>
      </c>
      <c r="B9" s="2" t="s">
        <v>382</v>
      </c>
      <c r="C9" s="12" t="s">
        <v>383</v>
      </c>
    </row>
    <row r="10" spans="1:3" ht="15.5" customHeight="1" x14ac:dyDescent="0.35">
      <c r="A10" s="2" t="s">
        <v>384</v>
      </c>
      <c r="B10" s="2" t="s">
        <v>385</v>
      </c>
      <c r="C10" s="12" t="s">
        <v>386</v>
      </c>
    </row>
    <row r="11" spans="1:3" ht="15.5" customHeight="1" x14ac:dyDescent="0.35">
      <c r="A11" s="2" t="s">
        <v>387</v>
      </c>
      <c r="B11" s="2" t="s">
        <v>388</v>
      </c>
      <c r="C11" s="12" t="s">
        <v>389</v>
      </c>
    </row>
    <row r="12" spans="1:3" ht="15.5" customHeight="1" x14ac:dyDescent="0.35">
      <c r="A12" s="2" t="s">
        <v>390</v>
      </c>
      <c r="B12" s="2" t="s">
        <v>391</v>
      </c>
      <c r="C12" s="12" t="s">
        <v>392</v>
      </c>
    </row>
    <row r="13" spans="1:3" ht="15.5" customHeight="1" x14ac:dyDescent="0.35">
      <c r="A13" s="2" t="s">
        <v>393</v>
      </c>
      <c r="B13" s="2" t="s">
        <v>394</v>
      </c>
      <c r="C13" s="12" t="s">
        <v>395</v>
      </c>
    </row>
    <row r="14" spans="1:3" ht="15.5" customHeight="1" x14ac:dyDescent="0.35">
      <c r="A14" s="2" t="s">
        <v>396</v>
      </c>
      <c r="B14" s="2" t="s">
        <v>397</v>
      </c>
      <c r="C14" s="12" t="s">
        <v>398</v>
      </c>
    </row>
    <row r="15" spans="1:3" ht="15.5" customHeight="1" x14ac:dyDescent="0.35">
      <c r="A15" s="2" t="s">
        <v>399</v>
      </c>
      <c r="B15" s="2" t="s">
        <v>400</v>
      </c>
      <c r="C15" s="12" t="s">
        <v>401</v>
      </c>
    </row>
  </sheetData>
  <mergeCells count="2">
    <mergeCell ref="A1:C1"/>
    <mergeCell ref="A2:C2"/>
  </mergeCells>
  <hyperlinks>
    <hyperlink ref="C5" r:id="rId1" xr:uid="{00000000-0004-0000-0B00-000000000000}"/>
    <hyperlink ref="C6" r:id="rId2" location="5-change-claude-desktop-sign-in" xr:uid="{00000000-0004-0000-0B00-000001000000}"/>
    <hyperlink ref="C7" r:id="rId3" location="letting-desktop-do-the-sign-in-itself" xr:uid="{00000000-0004-0000-0B00-000002000000}"/>
    <hyperlink ref="C8" r:id="rId4" xr:uid="{00000000-0004-0000-0B00-000003000000}"/>
    <hyperlink ref="C9" r:id="rId5" xr:uid="{00000000-0004-0000-0B00-000004000000}"/>
    <hyperlink ref="C10" r:id="rId6" xr:uid="{00000000-0004-0000-0B00-000005000000}"/>
    <hyperlink ref="C11" r:id="rId7" xr:uid="{00000000-0004-0000-0B00-000006000000}"/>
    <hyperlink ref="C12" r:id="rId8" xr:uid="{00000000-0004-0000-0B00-000007000000}"/>
    <hyperlink ref="C13" r:id="rId9" xr:uid="{00000000-0004-0000-0B00-000008000000}"/>
    <hyperlink ref="C14" r:id="rId10" xr:uid="{00000000-0004-0000-0B00-000009000000}"/>
    <hyperlink ref="C15" r:id="rId11" xr:uid="{00000000-0004-0000-0B00-00000A000000}"/>
  </hyperlinks>
  <pageMargins left="0.75" right="0.75" top="1" bottom="1" header="0.5" footer="0.5"/>
  <pageSetup fitToHeight="0"/>
  <tableParts count="1">
    <tablePart r:id="rId12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 Me</vt:lpstr>
      <vt:lpstr>Inputs</vt:lpstr>
      <vt:lpstr>Dashboard</vt:lpstr>
      <vt:lpstr>Roles</vt:lpstr>
      <vt:lpstr>Preflight</vt:lpstr>
      <vt:lpstr>Sign-in Migration</vt:lpstr>
      <vt:lpstr>Intune Rollout</vt:lpstr>
      <vt:lpstr>Projection Cutover</vt:lpstr>
      <vt:lpstr>Verify-Rollback</vt:lpstr>
      <vt:lpstr>Commands</vt:lpstr>
      <vt:lpstr>Intune Scripts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Naveen Gopalakrishna</cp:lastModifiedBy>
  <dcterms:created xsi:type="dcterms:W3CDTF">2026-10-13T16:28:09Z</dcterms:created>
  <dcterms:modified xsi:type="dcterms:W3CDTF">2026-10-13T16:31:28Z</dcterms:modified>
</cp:coreProperties>
</file>